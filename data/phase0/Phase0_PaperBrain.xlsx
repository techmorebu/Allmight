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3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33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34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32.xml"/>
  <Override ContentType="application/vnd.openxmlformats-officedocument.drawing+xml" PartName="/xl/drawings/drawing23.xml"/>
  <Override ContentType="application/vnd.openxmlformats-officedocument.drawing+xml" PartName="/xl/drawings/drawing3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ssets_MasterList" sheetId="1" r:id="rId5"/>
    <sheet state="visible" name="Data_Staging" sheetId="2" r:id="rId6"/>
    <sheet state="visible" name="Shared_Inputs" sheetId="3" r:id="rId7"/>
    <sheet state="visible" name="01_SSP_Structure_L0" sheetId="4" r:id="rId8"/>
    <sheet state="visible" name="02_Institutional_Pressure_L1" sheetId="5" r:id="rId9"/>
    <sheet state="visible" name="03_Liquidity_Sweep_Engine_L2" sheetId="6" r:id="rId10"/>
    <sheet state="visible" name="04_Liquidity_Architecture_Engin" sheetId="7" r:id="rId11"/>
    <sheet state="visible" name="17_Macro_WhaleFlow_Narrative_Pl" sheetId="8" r:id="rId12"/>
    <sheet state="visible" name="21_MCS_Aggregator" sheetId="9" r:id="rId13"/>
    <sheet state="visible" name="22_Engine_Activation_Matrix" sheetId="10" r:id="rId14"/>
    <sheet state="visible" name="23_Weekly_Income_Interaction_Ru" sheetId="11" r:id="rId15"/>
    <sheet state="visible" name="24_Vault_Capital_Intake_Logic" sheetId="12" r:id="rId16"/>
    <sheet state="visible" name="00_Active_Grid" sheetId="13" r:id="rId17"/>
    <sheet state="visible" name="99_Opportunity_Scanner" sheetId="14" r:id="rId18"/>
    <sheet state="visible" name="25_Risk_Throttle_Controller_Rul" sheetId="15" r:id="rId19"/>
    <sheet state="visible" name="TrendStack" sheetId="16" r:id="rId20"/>
    <sheet state="visible" name="Kalman Trend Confidence" sheetId="17" r:id="rId21"/>
    <sheet state="visible" name="Nadaraya-Watson Trend" sheetId="18" r:id="rId22"/>
    <sheet state="visible" name="ATR Slope" sheetId="19" r:id="rId23"/>
    <sheet state="visible" name="Market Cycle Engine" sheetId="20" r:id="rId24"/>
    <sheet state="visible" name="AMD Engine" sheetId="21" r:id="rId25"/>
    <sheet state="visible" name="Execution Footprint" sheetId="22" r:id="rId26"/>
    <sheet state="visible" name="Liquidation Engine" sheetId="23" r:id="rId27"/>
    <sheet state="visible" name="MicroScalp Volatility" sheetId="24" r:id="rId28"/>
    <sheet state="visible" name="Directional Impulse" sheetId="25" r:id="rId29"/>
    <sheet state="visible" name="Session Timing &amp; Session Streak" sheetId="26" r:id="rId30"/>
    <sheet state="visible" name="WhaleFlow &amp; Macro Narrative" sheetId="27" r:id="rId31"/>
    <sheet state="visible" name="Correlation Stress Engine" sheetId="28" r:id="rId32"/>
    <sheet state="visible" name="MCS Aggregator" sheetId="29" r:id="rId33"/>
    <sheet state="visible" name="Engine Activation Matrix" sheetId="30" r:id="rId34"/>
    <sheet state="visible" name="Weekly Income Interaction" sheetId="31" r:id="rId35"/>
    <sheet state="visible" name="Vault &amp; Capital Intake Logic" sheetId="32" r:id="rId36"/>
    <sheet state="visible" name="Risk &amp; Throttle Controller" sheetId="33" r:id="rId37"/>
    <sheet state="visible" name="Human Operator Performance (Inf" sheetId="34" r:id="rId38"/>
  </sheets>
  <definedNames/>
  <calcPr/>
</workbook>
</file>

<file path=xl/sharedStrings.xml><?xml version="1.0" encoding="utf-8"?>
<sst xmlns="http://schemas.openxmlformats.org/spreadsheetml/2006/main" count="348" uniqueCount="121">
  <si>
    <t>AssetID</t>
  </si>
  <si>
    <t>Symbol</t>
  </si>
  <si>
    <t>Type</t>
  </si>
  <si>
    <t>Primary_Source</t>
  </si>
  <si>
    <t>Timeframes</t>
  </si>
  <si>
    <t>Active</t>
  </si>
  <si>
    <t>Priority</t>
  </si>
  <si>
    <t>BTC</t>
  </si>
  <si>
    <t>BTCUSDT</t>
  </si>
  <si>
    <t>crypto</t>
  </si>
  <si>
    <t>binance</t>
  </si>
  <si>
    <t>5m,15m,1h,4h,1d</t>
  </si>
  <si>
    <t>ETH</t>
  </si>
  <si>
    <t>ETHUSDT</t>
  </si>
  <si>
    <t>15m,1h,4h</t>
  </si>
  <si>
    <t>XRP</t>
  </si>
  <si>
    <t>XRPUSDT</t>
  </si>
  <si>
    <t>XAU</t>
  </si>
  <si>
    <t>XAUUSD</t>
  </si>
  <si>
    <t>metal</t>
  </si>
  <si>
    <t>yahoo</t>
  </si>
  <si>
    <t>1h,1d</t>
  </si>
  <si>
    <t>SPX</t>
  </si>
  <si>
    <t>^GSPC</t>
  </si>
  <si>
    <t>index</t>
  </si>
  <si>
    <t>1d</t>
  </si>
  <si>
    <t>Timeframe</t>
  </si>
  <si>
    <t>Timestamp</t>
  </si>
  <si>
    <t>Open</t>
  </si>
  <si>
    <t>High</t>
  </si>
  <si>
    <t>Low</t>
  </si>
  <si>
    <t>Close</t>
  </si>
  <si>
    <t>Volume</t>
  </si>
  <si>
    <t>Last_Volume</t>
  </si>
  <si>
    <t>AvgVol_20</t>
  </si>
  <si>
    <t>VolSpikeFlag</t>
  </si>
  <si>
    <t>15m</t>
  </si>
  <si>
    <t>Last_Close</t>
  </si>
  <si>
    <t>Prev_Close</t>
  </si>
  <si>
    <t>SwingHigh_20</t>
  </si>
  <si>
    <t>SwingLow_20</t>
  </si>
  <si>
    <t>ATR_14</t>
  </si>
  <si>
    <t>TrendSimple</t>
  </si>
  <si>
    <t>VolatilityScore</t>
  </si>
  <si>
    <t>Notes</t>
  </si>
  <si>
    <t>BOS_Flag</t>
  </si>
  <si>
    <t>BOS_Direction</t>
  </si>
  <si>
    <t>BOS_StrengthScore</t>
  </si>
  <si>
    <t>CHoCH_Flag</t>
  </si>
  <si>
    <t>CHoCH_Direction</t>
  </si>
  <si>
    <t>CHoCH_ValidityScore</t>
  </si>
  <si>
    <t>MarketStructureState</t>
  </si>
  <si>
    <t>StructureBias</t>
  </si>
  <si>
    <t>SSP_TotalStructureScore</t>
  </si>
  <si>
    <t>Strong orderflow + aligned momentum + good vol + moneyflow → upscore
Strong divergence → downscore</t>
  </si>
  <si>
    <t>UpperSweepFlag</t>
  </si>
  <si>
    <t>LowerSweepFlag</t>
  </si>
  <si>
    <t>SweepDirection</t>
  </si>
  <si>
    <t>SweepStrengthScore</t>
  </si>
  <si>
    <t>SweepScore</t>
  </si>
  <si>
    <t>VolumeSpikeFlag</t>
  </si>
  <si>
    <t>MarketMemoryScore</t>
  </si>
  <si>
    <t>LiquidityPocketScore</t>
  </si>
  <si>
    <t>VolumeImbalanceScore</t>
  </si>
  <si>
    <t>LiquidityArchitectureScore</t>
  </si>
  <si>
    <t>ManualMacroRegime</t>
  </si>
  <si>
    <t>MacroScore</t>
  </si>
  <si>
    <t>NarrativeRiskFlag</t>
  </si>
  <si>
    <t>CorrelationStressFlag</t>
  </si>
  <si>
    <t>MacroNotes</t>
  </si>
  <si>
    <t>SSP_Score</t>
  </si>
  <si>
    <t>PressureScore</t>
  </si>
  <si>
    <t>LiquidityArchScore</t>
  </si>
  <si>
    <t>RiskPenalty</t>
  </si>
  <si>
    <t>MCS_Total</t>
  </si>
  <si>
    <t>ActivationBand</t>
  </si>
  <si>
    <t>DirectionalEngine</t>
  </si>
  <si>
    <t>ArbitrageEngine</t>
  </si>
  <si>
    <t>YieldEngine</t>
  </si>
  <si>
    <t>FlashloanEngine</t>
  </si>
  <si>
    <t>RiskThrottleMode</t>
  </si>
  <si>
    <t>OverrideReason</t>
  </si>
  <si>
    <t>""</t>
  </si>
  <si>
    <t>EngineSize_USD</t>
  </si>
  <si>
    <t>ExpectedDailyYieldPct</t>
  </si>
  <si>
    <t>ExpectedWeeklyYieldUSD</t>
  </si>
  <si>
    <t>WeeklyTargetUSD</t>
  </si>
  <si>
    <t>PayoutPct</t>
  </si>
  <si>
    <t>ReinvestPct</t>
  </si>
  <si>
    <t>CoolModeFlag</t>
  </si>
  <si>
    <t>DirectionalThrottle</t>
  </si>
  <si>
    <t>FlashloanAllowed</t>
  </si>
  <si>
    <t>PresetName</t>
  </si>
  <si>
    <t>ArbPct</t>
  </si>
  <si>
    <t>DeFiYieldPct</t>
  </si>
  <si>
    <t>XRP_ISO_Pct</t>
  </si>
  <si>
    <t>MetalsPct</t>
  </si>
  <si>
    <t>DividendsPct</t>
  </si>
  <si>
    <t>PRESET_A_GROWTH</t>
  </si>
  <si>
    <t>PRESET_B_DEFENSIVE</t>
  </si>
  <si>
    <t>PRESET_C_XRP_HEAVY</t>
  </si>
  <si>
    <t>INTAKE LOG</t>
  </si>
  <si>
    <t>Date</t>
  </si>
  <si>
    <t>DepositUSD</t>
  </si>
  <si>
    <t>PresetUsed</t>
  </si>
  <si>
    <t>To_ArbUSD</t>
  </si>
  <si>
    <t>To_YieldUSD</t>
  </si>
  <si>
    <t>To_XRPUSD</t>
  </si>
  <si>
    <t>To_MetalsUSD</t>
  </si>
  <si>
    <t>To_DividendsUSD</t>
  </si>
  <si>
    <t>SSP</t>
  </si>
  <si>
    <t>Pressure</t>
  </si>
  <si>
    <t>Sweep</t>
  </si>
  <si>
    <t>Liquidity</t>
  </si>
  <si>
    <t>VolSpike</t>
  </si>
  <si>
    <t>Bias</t>
  </si>
  <si>
    <t>DrawdownPct</t>
  </si>
  <si>
    <t>KillSwitchFlag</t>
  </si>
  <si>
    <t>ThrottleLevel</t>
  </si>
  <si>
    <t>AllowedActions</t>
  </si>
  <si>
    <t>Reason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</si>
</sst>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right" vertical="bottom"/>
    </xf>
    <xf borderId="0" fillId="0" fontId="1" numFmtId="0" xfId="0" applyFont="1"/>
    <xf borderId="0" fillId="0" fontId="1" numFmtId="10" xfId="0" applyAlignment="1" applyFont="1" applyNumberFormat="1">
      <alignment readingOrder="0"/>
    </xf>
    <xf borderId="0" fillId="0" fontId="1" numFmtId="9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29" Type="http://schemas.openxmlformats.org/officeDocument/2006/relationships/worksheet" Target="worksheets/sheet25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31" Type="http://schemas.openxmlformats.org/officeDocument/2006/relationships/worksheet" Target="worksheets/sheet27.xml"/><Relationship Id="rId30" Type="http://schemas.openxmlformats.org/officeDocument/2006/relationships/worksheet" Target="worksheets/sheet26.xml"/><Relationship Id="rId11" Type="http://schemas.openxmlformats.org/officeDocument/2006/relationships/worksheet" Target="worksheets/sheet7.xml"/><Relationship Id="rId33" Type="http://schemas.openxmlformats.org/officeDocument/2006/relationships/worksheet" Target="worksheets/sheet29.xml"/><Relationship Id="rId10" Type="http://schemas.openxmlformats.org/officeDocument/2006/relationships/worksheet" Target="worksheets/sheet6.xml"/><Relationship Id="rId32" Type="http://schemas.openxmlformats.org/officeDocument/2006/relationships/worksheet" Target="worksheets/sheet28.xml"/><Relationship Id="rId13" Type="http://schemas.openxmlformats.org/officeDocument/2006/relationships/worksheet" Target="worksheets/sheet9.xml"/><Relationship Id="rId35" Type="http://schemas.openxmlformats.org/officeDocument/2006/relationships/worksheet" Target="worksheets/sheet31.xml"/><Relationship Id="rId12" Type="http://schemas.openxmlformats.org/officeDocument/2006/relationships/worksheet" Target="worksheets/sheet8.xml"/><Relationship Id="rId34" Type="http://schemas.openxmlformats.org/officeDocument/2006/relationships/worksheet" Target="worksheets/sheet30.xml"/><Relationship Id="rId15" Type="http://schemas.openxmlformats.org/officeDocument/2006/relationships/worksheet" Target="worksheets/sheet11.xml"/><Relationship Id="rId37" Type="http://schemas.openxmlformats.org/officeDocument/2006/relationships/worksheet" Target="worksheets/sheet33.xml"/><Relationship Id="rId14" Type="http://schemas.openxmlformats.org/officeDocument/2006/relationships/worksheet" Target="worksheets/sheet10.xml"/><Relationship Id="rId36" Type="http://schemas.openxmlformats.org/officeDocument/2006/relationships/worksheet" Target="worksheets/sheet32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38" Type="http://schemas.openxmlformats.org/officeDocument/2006/relationships/worksheet" Target="worksheets/sheet34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b">
        <v>1</v>
      </c>
      <c r="G2" s="1">
        <v>5.0</v>
      </c>
    </row>
    <row r="3">
      <c r="A3" s="1" t="s">
        <v>12</v>
      </c>
      <c r="B3" s="1" t="s">
        <v>13</v>
      </c>
      <c r="C3" s="1" t="s">
        <v>9</v>
      </c>
      <c r="D3" s="1" t="s">
        <v>10</v>
      </c>
      <c r="E3" s="1" t="s">
        <v>14</v>
      </c>
      <c r="F3" s="1" t="b">
        <v>1</v>
      </c>
      <c r="G3" s="1">
        <v>4.0</v>
      </c>
    </row>
    <row r="4">
      <c r="A4" s="1" t="s">
        <v>15</v>
      </c>
      <c r="B4" s="1" t="s">
        <v>16</v>
      </c>
      <c r="C4" s="1" t="s">
        <v>9</v>
      </c>
      <c r="D4" s="1" t="s">
        <v>10</v>
      </c>
      <c r="E4" s="1" t="s">
        <v>14</v>
      </c>
      <c r="F4" s="1" t="b">
        <v>1</v>
      </c>
      <c r="G4" s="1">
        <v>3.0</v>
      </c>
    </row>
    <row r="5">
      <c r="A5" s="1" t="s">
        <v>17</v>
      </c>
      <c r="B5" s="1" t="s">
        <v>18</v>
      </c>
      <c r="C5" s="1" t="s">
        <v>19</v>
      </c>
      <c r="D5" s="1" t="s">
        <v>20</v>
      </c>
      <c r="E5" s="1" t="s">
        <v>21</v>
      </c>
      <c r="F5" s="1" t="b">
        <v>1</v>
      </c>
      <c r="G5" s="1">
        <v>3.0</v>
      </c>
    </row>
    <row r="6">
      <c r="A6" s="1" t="s">
        <v>22</v>
      </c>
      <c r="B6" s="1" t="s">
        <v>23</v>
      </c>
      <c r="C6" s="1" t="s">
        <v>24</v>
      </c>
      <c r="D6" s="1" t="s">
        <v>20</v>
      </c>
      <c r="E6" s="1" t="s">
        <v>25</v>
      </c>
      <c r="F6" s="1" t="b">
        <v>1</v>
      </c>
      <c r="G6" s="1">
        <v>3.0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26</v>
      </c>
      <c r="C1" s="1" t="s">
        <v>27</v>
      </c>
      <c r="D1" s="1" t="s">
        <v>28</v>
      </c>
      <c r="E1" s="1" t="s">
        <v>29</v>
      </c>
      <c r="F1" s="1" t="s">
        <v>30</v>
      </c>
      <c r="G1" s="1" t="s">
        <v>31</v>
      </c>
      <c r="H1" s="1" t="s">
        <v>32</v>
      </c>
      <c r="K1" s="1" t="s">
        <v>33</v>
      </c>
      <c r="L1" s="1" t="s">
        <v>34</v>
      </c>
      <c r="M1" s="1" t="s">
        <v>35</v>
      </c>
    </row>
    <row r="2">
      <c r="A2" s="1" t="s">
        <v>7</v>
      </c>
      <c r="B2" s="1" t="s">
        <v>36</v>
      </c>
      <c r="C2" s="2">
        <v>1.7650161E9</v>
      </c>
      <c r="D2" s="2">
        <v>89575.01</v>
      </c>
      <c r="E2" s="2">
        <v>89687.86</v>
      </c>
      <c r="F2" s="2">
        <v>89508.18</v>
      </c>
      <c r="G2" s="2">
        <v>89534.97</v>
      </c>
      <c r="H2" s="2">
        <v>49.32107</v>
      </c>
      <c r="K2" s="3">
        <f>IFERROR(__xludf.DUMMYFUNCTION("IFERROR(
  INDEX(
    FILTER(Data_Staging!H2:H1000, Data_Staging!A2:A1000=A2, Data_Staging!B2:B1000=B2),
    ROWS(FILTER(Data_Staging!H2:H1000, Data_Staging!A2:A1000=A2, Data_Staging!B2:B1000=B2))
  ),
"""")"),28.2357)</f>
        <v>28.2357</v>
      </c>
      <c r="L2" s="3">
        <f>IFERROR(__xludf.DUMMYFUNCTION("IFERROR(
  AVERAGE(
    INDEX(
      FILTER(Data_Staging!H2:H1000, Data_Staging!A2:A1000=A2, Data_Staging!B2:B1000=B2),
      SEQUENCE(20,1, ROWS(FILTER(Data_Staging!H2:H1000, Data_Staging!A2:A1000=A2, Data_Staging!B2:B1000=B2))-19, 1)
    )
  ),
"""")"),121.81695)</f>
        <v>121.81695</v>
      </c>
      <c r="M2" s="3" t="b">
        <f>IF(OR(K2="",L2="",L2=0), FALSE, K2&gt;=1.5*L2)</f>
        <v>0</v>
      </c>
    </row>
    <row r="3">
      <c r="A3" s="1" t="s">
        <v>7</v>
      </c>
      <c r="B3" s="1" t="s">
        <v>36</v>
      </c>
      <c r="C3" s="2">
        <v>1.765017E9</v>
      </c>
      <c r="D3" s="2">
        <v>89534.98</v>
      </c>
      <c r="E3" s="2">
        <v>89587.74</v>
      </c>
      <c r="F3" s="2">
        <v>89510.0</v>
      </c>
      <c r="G3" s="2">
        <v>89574.49</v>
      </c>
      <c r="H3" s="2">
        <v>43.1794</v>
      </c>
    </row>
    <row r="4">
      <c r="A4" s="1" t="s">
        <v>7</v>
      </c>
      <c r="B4" s="1" t="s">
        <v>36</v>
      </c>
      <c r="C4" s="2">
        <v>1.7650179E9</v>
      </c>
      <c r="D4" s="2">
        <v>89574.49</v>
      </c>
      <c r="E4" s="2">
        <v>89577.8</v>
      </c>
      <c r="F4" s="2">
        <v>89462.0</v>
      </c>
      <c r="G4" s="2">
        <v>89506.0</v>
      </c>
      <c r="H4" s="2">
        <v>40.53745</v>
      </c>
    </row>
    <row r="5">
      <c r="A5" s="1" t="s">
        <v>7</v>
      </c>
      <c r="B5" s="1" t="s">
        <v>36</v>
      </c>
      <c r="C5" s="2">
        <v>1.7650188E9</v>
      </c>
      <c r="D5" s="2">
        <v>89506.01</v>
      </c>
      <c r="E5" s="2">
        <v>89577.62</v>
      </c>
      <c r="F5" s="2">
        <v>89500.0</v>
      </c>
      <c r="G5" s="2">
        <v>89500.0</v>
      </c>
      <c r="H5" s="2">
        <v>39.00799</v>
      </c>
    </row>
    <row r="6">
      <c r="A6" s="1" t="s">
        <v>7</v>
      </c>
      <c r="B6" s="1" t="s">
        <v>36</v>
      </c>
      <c r="C6" s="2">
        <v>1.7650197E9</v>
      </c>
      <c r="D6" s="2">
        <v>89500.01</v>
      </c>
      <c r="E6" s="2">
        <v>89608.58</v>
      </c>
      <c r="F6" s="2">
        <v>89500.0</v>
      </c>
      <c r="G6" s="2">
        <v>89579.25</v>
      </c>
      <c r="H6" s="2">
        <v>97.59261</v>
      </c>
    </row>
    <row r="7">
      <c r="A7" s="1" t="s">
        <v>7</v>
      </c>
      <c r="B7" s="1" t="s">
        <v>36</v>
      </c>
      <c r="C7" s="2">
        <v>1.7650206E9</v>
      </c>
      <c r="D7" s="2">
        <v>89579.26</v>
      </c>
      <c r="E7" s="2">
        <v>89750.01</v>
      </c>
      <c r="F7" s="2">
        <v>89560.35</v>
      </c>
      <c r="G7" s="2">
        <v>89684.51</v>
      </c>
      <c r="H7" s="2">
        <v>355.24367</v>
      </c>
    </row>
    <row r="8">
      <c r="A8" s="1" t="s">
        <v>7</v>
      </c>
      <c r="B8" s="1" t="s">
        <v>36</v>
      </c>
      <c r="C8" s="2">
        <v>1.7650215E9</v>
      </c>
      <c r="D8" s="2">
        <v>89684.51</v>
      </c>
      <c r="E8" s="2">
        <v>89733.32</v>
      </c>
      <c r="F8" s="2">
        <v>89612.0</v>
      </c>
      <c r="G8" s="2">
        <v>89631.28</v>
      </c>
      <c r="H8" s="2">
        <v>76.8576</v>
      </c>
    </row>
    <row r="9">
      <c r="A9" s="1" t="s">
        <v>7</v>
      </c>
      <c r="B9" s="1" t="s">
        <v>36</v>
      </c>
      <c r="C9" s="2">
        <v>1.7650224E9</v>
      </c>
      <c r="D9" s="2">
        <v>89631.29</v>
      </c>
      <c r="E9" s="2">
        <v>89637.95</v>
      </c>
      <c r="F9" s="2">
        <v>89566.0</v>
      </c>
      <c r="G9" s="2">
        <v>89582.26</v>
      </c>
      <c r="H9" s="2">
        <v>79.46369</v>
      </c>
    </row>
    <row r="10">
      <c r="A10" s="1" t="s">
        <v>7</v>
      </c>
      <c r="B10" s="1" t="s">
        <v>36</v>
      </c>
      <c r="C10" s="2">
        <v>1.7650233E9</v>
      </c>
      <c r="D10" s="2">
        <v>89582.27</v>
      </c>
      <c r="E10" s="2">
        <v>89632.66</v>
      </c>
      <c r="F10" s="2">
        <v>89574.86</v>
      </c>
      <c r="G10" s="2">
        <v>89616.33</v>
      </c>
      <c r="H10" s="2">
        <v>52.05189</v>
      </c>
    </row>
    <row r="11">
      <c r="A11" s="1" t="s">
        <v>7</v>
      </c>
      <c r="B11" s="1" t="s">
        <v>36</v>
      </c>
      <c r="C11" s="2">
        <v>1.7650242E9</v>
      </c>
      <c r="D11" s="2">
        <v>89616.33</v>
      </c>
      <c r="E11" s="2">
        <v>89648.96</v>
      </c>
      <c r="F11" s="2">
        <v>89566.0</v>
      </c>
      <c r="G11" s="2">
        <v>89599.22</v>
      </c>
      <c r="H11" s="2">
        <v>37.86053</v>
      </c>
    </row>
    <row r="12">
      <c r="A12" s="1" t="s">
        <v>7</v>
      </c>
      <c r="B12" s="1" t="s">
        <v>36</v>
      </c>
      <c r="C12" s="2">
        <v>1.7650251E9</v>
      </c>
      <c r="D12" s="2">
        <v>89599.22</v>
      </c>
      <c r="E12" s="2">
        <v>89634.78</v>
      </c>
      <c r="F12" s="2">
        <v>89570.51</v>
      </c>
      <c r="G12" s="2">
        <v>89581.19</v>
      </c>
      <c r="H12" s="2">
        <v>86.65106</v>
      </c>
    </row>
    <row r="13">
      <c r="A13" s="1" t="s">
        <v>7</v>
      </c>
      <c r="B13" s="1" t="s">
        <v>36</v>
      </c>
      <c r="C13" s="2">
        <v>1.765026E9</v>
      </c>
      <c r="D13" s="2">
        <v>89581.19</v>
      </c>
      <c r="E13" s="2">
        <v>89633.67</v>
      </c>
      <c r="F13" s="2">
        <v>89581.19</v>
      </c>
      <c r="G13" s="2">
        <v>89611.43</v>
      </c>
      <c r="H13" s="2">
        <v>46.63324</v>
      </c>
    </row>
    <row r="14">
      <c r="A14" s="1" t="s">
        <v>7</v>
      </c>
      <c r="B14" s="1" t="s">
        <v>36</v>
      </c>
      <c r="C14" s="2">
        <v>1.7650269E9</v>
      </c>
      <c r="D14" s="2">
        <v>89611.43</v>
      </c>
      <c r="E14" s="2">
        <v>89703.0</v>
      </c>
      <c r="F14" s="2">
        <v>89590.0</v>
      </c>
      <c r="G14" s="2">
        <v>89688.18</v>
      </c>
      <c r="H14" s="2">
        <v>49.28903</v>
      </c>
    </row>
    <row r="15">
      <c r="A15" s="1" t="s">
        <v>7</v>
      </c>
      <c r="B15" s="1" t="s">
        <v>36</v>
      </c>
      <c r="C15" s="2">
        <v>1.7650278E9</v>
      </c>
      <c r="D15" s="2">
        <v>89688.25</v>
      </c>
      <c r="E15" s="2">
        <v>89783.15</v>
      </c>
      <c r="F15" s="2">
        <v>89638.25</v>
      </c>
      <c r="G15" s="2">
        <v>89783.15</v>
      </c>
      <c r="H15" s="2">
        <v>93.11264</v>
      </c>
    </row>
    <row r="16">
      <c r="A16" s="1" t="s">
        <v>7</v>
      </c>
      <c r="B16" s="1" t="s">
        <v>36</v>
      </c>
      <c r="C16" s="2">
        <v>1.7650287E9</v>
      </c>
      <c r="D16" s="2">
        <v>89783.15</v>
      </c>
      <c r="E16" s="2">
        <v>89788.56</v>
      </c>
      <c r="F16" s="2">
        <v>89654.33</v>
      </c>
      <c r="G16" s="2">
        <v>89673.73</v>
      </c>
      <c r="H16" s="2">
        <v>63.82577</v>
      </c>
    </row>
    <row r="17">
      <c r="A17" s="1" t="s">
        <v>7</v>
      </c>
      <c r="B17" s="1" t="s">
        <v>36</v>
      </c>
      <c r="C17" s="2">
        <v>1.7650296E9</v>
      </c>
      <c r="D17" s="2">
        <v>89673.73</v>
      </c>
      <c r="E17" s="2">
        <v>89740.14</v>
      </c>
      <c r="F17" s="2">
        <v>89659.0</v>
      </c>
      <c r="G17" s="2">
        <v>89740.13</v>
      </c>
      <c r="H17" s="2">
        <v>109.19678</v>
      </c>
    </row>
    <row r="18">
      <c r="A18" s="1" t="s">
        <v>7</v>
      </c>
      <c r="B18" s="1" t="s">
        <v>36</v>
      </c>
      <c r="C18" s="2">
        <v>1.7650305E9</v>
      </c>
      <c r="D18" s="2">
        <v>89740.13</v>
      </c>
      <c r="E18" s="2">
        <v>90289.97</v>
      </c>
      <c r="F18" s="2">
        <v>89740.12</v>
      </c>
      <c r="G18" s="2">
        <v>89934.04</v>
      </c>
      <c r="H18" s="2">
        <v>492.43262</v>
      </c>
    </row>
    <row r="19">
      <c r="A19" s="1" t="s">
        <v>7</v>
      </c>
      <c r="B19" s="1" t="s">
        <v>36</v>
      </c>
      <c r="C19" s="2">
        <v>1.7650314E9</v>
      </c>
      <c r="D19" s="2">
        <v>89934.05</v>
      </c>
      <c r="E19" s="2">
        <v>90079.75</v>
      </c>
      <c r="F19" s="2">
        <v>89904.57</v>
      </c>
      <c r="G19" s="2">
        <v>90064.5</v>
      </c>
      <c r="H19" s="2">
        <v>202.07498</v>
      </c>
    </row>
    <row r="20">
      <c r="A20" s="1" t="s">
        <v>7</v>
      </c>
      <c r="B20" s="1" t="s">
        <v>36</v>
      </c>
      <c r="C20" s="2">
        <v>1.7650323E9</v>
      </c>
      <c r="D20" s="2">
        <v>90064.5</v>
      </c>
      <c r="E20" s="2">
        <v>90200.01</v>
      </c>
      <c r="F20" s="2">
        <v>90004.75</v>
      </c>
      <c r="G20" s="2">
        <v>90004.76</v>
      </c>
      <c r="H20" s="2">
        <v>264.29687</v>
      </c>
    </row>
    <row r="21">
      <c r="A21" s="1" t="s">
        <v>7</v>
      </c>
      <c r="B21" s="1" t="s">
        <v>36</v>
      </c>
      <c r="C21" s="2">
        <v>1.7650332E9</v>
      </c>
      <c r="D21" s="2">
        <v>90004.76</v>
      </c>
      <c r="E21" s="2">
        <v>90042.54</v>
      </c>
      <c r="F21" s="2">
        <v>89819.24</v>
      </c>
      <c r="G21" s="2">
        <v>89841.38</v>
      </c>
      <c r="H21" s="2">
        <v>121.81695</v>
      </c>
    </row>
    <row r="22">
      <c r="A22" s="1" t="s">
        <v>7</v>
      </c>
      <c r="B22" s="1" t="s">
        <v>36</v>
      </c>
      <c r="C22" s="2">
        <v>1.7650341E9</v>
      </c>
      <c r="D22" s="2">
        <v>89841.38</v>
      </c>
      <c r="E22" s="2">
        <v>89841.39</v>
      </c>
      <c r="F22" s="2">
        <v>89490.98</v>
      </c>
      <c r="G22" s="2">
        <v>89639.84</v>
      </c>
      <c r="H22" s="2">
        <v>170.92515</v>
      </c>
    </row>
    <row r="23">
      <c r="A23" s="1" t="s">
        <v>7</v>
      </c>
      <c r="B23" s="1" t="s">
        <v>36</v>
      </c>
      <c r="C23" s="2">
        <v>1.765035E9</v>
      </c>
      <c r="D23" s="2">
        <v>89639.84</v>
      </c>
      <c r="E23" s="2">
        <v>89914.0</v>
      </c>
      <c r="F23" s="2">
        <v>89572.84</v>
      </c>
      <c r="G23" s="2">
        <v>89873.61</v>
      </c>
      <c r="H23" s="2">
        <v>117.51404</v>
      </c>
    </row>
    <row r="24">
      <c r="A24" s="1" t="s">
        <v>7</v>
      </c>
      <c r="B24" s="1" t="s">
        <v>36</v>
      </c>
      <c r="C24" s="2">
        <v>1.7650359E9</v>
      </c>
      <c r="D24" s="2">
        <v>89873.6</v>
      </c>
      <c r="E24" s="2">
        <v>89950.9</v>
      </c>
      <c r="F24" s="2">
        <v>89726.53</v>
      </c>
      <c r="G24" s="2">
        <v>89758.77</v>
      </c>
      <c r="H24" s="2">
        <v>64.93542</v>
      </c>
    </row>
    <row r="25">
      <c r="A25" s="1" t="s">
        <v>7</v>
      </c>
      <c r="B25" s="1" t="s">
        <v>36</v>
      </c>
      <c r="C25" s="2">
        <v>1.7650368E9</v>
      </c>
      <c r="D25" s="2">
        <v>89758.77</v>
      </c>
      <c r="E25" s="2">
        <v>89981.2</v>
      </c>
      <c r="F25" s="2">
        <v>89745.74</v>
      </c>
      <c r="G25" s="2">
        <v>89939.11</v>
      </c>
      <c r="H25" s="2">
        <v>61.70669</v>
      </c>
    </row>
    <row r="26">
      <c r="A26" s="1" t="s">
        <v>7</v>
      </c>
      <c r="B26" s="1" t="s">
        <v>36</v>
      </c>
      <c r="C26" s="2">
        <v>1.7650377E9</v>
      </c>
      <c r="D26" s="2">
        <v>89939.11</v>
      </c>
      <c r="E26" s="2">
        <v>89976.79</v>
      </c>
      <c r="F26" s="2">
        <v>89862.2</v>
      </c>
      <c r="G26" s="2">
        <v>89882.46</v>
      </c>
      <c r="H26" s="2">
        <v>88.7377</v>
      </c>
    </row>
    <row r="27">
      <c r="A27" s="1" t="s">
        <v>7</v>
      </c>
      <c r="B27" s="1" t="s">
        <v>36</v>
      </c>
      <c r="C27" s="2">
        <v>1.7650386E9</v>
      </c>
      <c r="D27" s="2">
        <v>89882.47</v>
      </c>
      <c r="E27" s="2">
        <v>89927.02</v>
      </c>
      <c r="F27" s="2">
        <v>89800.0</v>
      </c>
      <c r="G27" s="2">
        <v>89824.49</v>
      </c>
      <c r="H27" s="2">
        <v>111.44211</v>
      </c>
    </row>
    <row r="28">
      <c r="A28" s="1" t="s">
        <v>7</v>
      </c>
      <c r="B28" s="1" t="s">
        <v>36</v>
      </c>
      <c r="C28" s="2">
        <v>1.7650395E9</v>
      </c>
      <c r="D28" s="2">
        <v>89824.48</v>
      </c>
      <c r="E28" s="2">
        <v>89831.73</v>
      </c>
      <c r="F28" s="2">
        <v>89680.34</v>
      </c>
      <c r="G28" s="2">
        <v>89707.8</v>
      </c>
      <c r="H28" s="2">
        <v>42.58901</v>
      </c>
    </row>
    <row r="29">
      <c r="A29" s="1" t="s">
        <v>7</v>
      </c>
      <c r="B29" s="1" t="s">
        <v>36</v>
      </c>
      <c r="C29" s="2">
        <v>1.7650404E9</v>
      </c>
      <c r="D29" s="2">
        <v>89707.8</v>
      </c>
      <c r="E29" s="2">
        <v>89780.75</v>
      </c>
      <c r="F29" s="2">
        <v>89626.21</v>
      </c>
      <c r="G29" s="2">
        <v>89698.76</v>
      </c>
      <c r="H29" s="2">
        <v>77.88237</v>
      </c>
    </row>
    <row r="30">
      <c r="A30" s="1" t="s">
        <v>7</v>
      </c>
      <c r="B30" s="1" t="s">
        <v>36</v>
      </c>
      <c r="C30" s="2">
        <v>1.7650413E9</v>
      </c>
      <c r="D30" s="2">
        <v>89698.75</v>
      </c>
      <c r="E30" s="2">
        <v>89846.98</v>
      </c>
      <c r="F30" s="2">
        <v>89633.14</v>
      </c>
      <c r="G30" s="2">
        <v>89844.48</v>
      </c>
      <c r="H30" s="2">
        <v>96.56015</v>
      </c>
    </row>
    <row r="31">
      <c r="A31" s="1" t="s">
        <v>7</v>
      </c>
      <c r="B31" s="1" t="s">
        <v>36</v>
      </c>
      <c r="C31" s="2">
        <v>1.7650422E9</v>
      </c>
      <c r="D31" s="2">
        <v>89844.47</v>
      </c>
      <c r="E31" s="2">
        <v>89844.47</v>
      </c>
      <c r="F31" s="2">
        <v>89653.01</v>
      </c>
      <c r="G31" s="2">
        <v>89663.85</v>
      </c>
      <c r="H31" s="2">
        <v>83.93768</v>
      </c>
    </row>
    <row r="32">
      <c r="A32" s="1" t="s">
        <v>7</v>
      </c>
      <c r="B32" s="1" t="s">
        <v>36</v>
      </c>
      <c r="C32" s="2">
        <v>1.7650431E9</v>
      </c>
      <c r="D32" s="2">
        <v>89663.84</v>
      </c>
      <c r="E32" s="2">
        <v>89715.7</v>
      </c>
      <c r="F32" s="2">
        <v>89615.38</v>
      </c>
      <c r="G32" s="2">
        <v>89712.85</v>
      </c>
      <c r="H32" s="2">
        <v>52.40593</v>
      </c>
    </row>
    <row r="33">
      <c r="A33" s="1" t="s">
        <v>7</v>
      </c>
      <c r="B33" s="1" t="s">
        <v>36</v>
      </c>
      <c r="C33" s="2">
        <v>1.765044E9</v>
      </c>
      <c r="D33" s="2">
        <v>89712.85</v>
      </c>
      <c r="E33" s="2">
        <v>89766.14</v>
      </c>
      <c r="F33" s="2">
        <v>89627.78</v>
      </c>
      <c r="G33" s="2">
        <v>89766.14</v>
      </c>
      <c r="H33" s="2">
        <v>45.14179</v>
      </c>
    </row>
    <row r="34">
      <c r="A34" s="1" t="s">
        <v>7</v>
      </c>
      <c r="B34" s="1" t="s">
        <v>36</v>
      </c>
      <c r="C34" s="2">
        <v>1.7650449E9</v>
      </c>
      <c r="D34" s="2">
        <v>89766.14</v>
      </c>
      <c r="E34" s="2">
        <v>89787.99</v>
      </c>
      <c r="F34" s="2">
        <v>89699.16</v>
      </c>
      <c r="G34" s="2">
        <v>89761.53</v>
      </c>
      <c r="H34" s="2">
        <v>40.91046</v>
      </c>
    </row>
    <row r="35">
      <c r="A35" s="1" t="s">
        <v>7</v>
      </c>
      <c r="B35" s="1" t="s">
        <v>36</v>
      </c>
      <c r="C35" s="2">
        <v>1.7650458E9</v>
      </c>
      <c r="D35" s="2">
        <v>89761.52</v>
      </c>
      <c r="E35" s="2">
        <v>89761.53</v>
      </c>
      <c r="F35" s="2">
        <v>89640.43</v>
      </c>
      <c r="G35" s="2">
        <v>89640.43</v>
      </c>
      <c r="H35" s="2">
        <v>47.34519</v>
      </c>
    </row>
    <row r="36">
      <c r="A36" s="1" t="s">
        <v>7</v>
      </c>
      <c r="B36" s="1" t="s">
        <v>36</v>
      </c>
      <c r="C36" s="2">
        <v>1.7650467E9</v>
      </c>
      <c r="D36" s="2">
        <v>89640.44</v>
      </c>
      <c r="E36" s="2">
        <v>89646.72</v>
      </c>
      <c r="F36" s="2">
        <v>89529.9</v>
      </c>
      <c r="G36" s="2">
        <v>89646.71</v>
      </c>
      <c r="H36" s="2">
        <v>46.7729</v>
      </c>
    </row>
    <row r="37">
      <c r="A37" s="1" t="s">
        <v>7</v>
      </c>
      <c r="B37" s="1" t="s">
        <v>36</v>
      </c>
      <c r="C37" s="2">
        <v>1.7650476E9</v>
      </c>
      <c r="D37" s="2">
        <v>89646.7</v>
      </c>
      <c r="E37" s="2">
        <v>89744.62</v>
      </c>
      <c r="F37" s="2">
        <v>89333.33</v>
      </c>
      <c r="G37" s="2">
        <v>89487.2</v>
      </c>
      <c r="H37" s="2">
        <v>171.03463</v>
      </c>
    </row>
    <row r="38">
      <c r="A38" s="1" t="s">
        <v>7</v>
      </c>
      <c r="B38" s="1" t="s">
        <v>36</v>
      </c>
      <c r="C38" s="2">
        <v>1.7650485E9</v>
      </c>
      <c r="D38" s="2">
        <v>89487.21</v>
      </c>
      <c r="E38" s="2">
        <v>89572.56</v>
      </c>
      <c r="F38" s="2">
        <v>89380.0</v>
      </c>
      <c r="G38" s="2">
        <v>89554.0</v>
      </c>
      <c r="H38" s="2">
        <v>75.50111</v>
      </c>
    </row>
    <row r="39">
      <c r="A39" s="1" t="s">
        <v>7</v>
      </c>
      <c r="B39" s="1" t="s">
        <v>36</v>
      </c>
      <c r="C39" s="2">
        <v>1.7650494E9</v>
      </c>
      <c r="D39" s="2">
        <v>89554.09</v>
      </c>
      <c r="E39" s="2">
        <v>89559.73</v>
      </c>
      <c r="F39" s="2">
        <v>89077.6</v>
      </c>
      <c r="G39" s="2">
        <v>89432.69</v>
      </c>
      <c r="H39" s="2">
        <v>413.39272</v>
      </c>
    </row>
    <row r="40">
      <c r="A40" s="1" t="s">
        <v>7</v>
      </c>
      <c r="B40" s="1" t="s">
        <v>36</v>
      </c>
      <c r="C40" s="2">
        <v>1.7650503E9</v>
      </c>
      <c r="D40" s="2">
        <v>89432.7</v>
      </c>
      <c r="E40" s="2">
        <v>89470.94</v>
      </c>
      <c r="F40" s="2">
        <v>89360.0</v>
      </c>
      <c r="G40" s="2">
        <v>89405.64</v>
      </c>
      <c r="H40" s="2">
        <v>28.2357</v>
      </c>
    </row>
    <row r="41">
      <c r="A41" s="1" t="s">
        <v>12</v>
      </c>
      <c r="B41" s="1" t="s">
        <v>36</v>
      </c>
      <c r="C41" s="2">
        <v>1.7650161E9</v>
      </c>
      <c r="D41" s="2">
        <v>89575.01</v>
      </c>
      <c r="E41" s="2">
        <v>89687.86</v>
      </c>
      <c r="F41" s="2">
        <v>89508.18</v>
      </c>
      <c r="G41" s="2">
        <v>89534.97</v>
      </c>
      <c r="H41" s="2">
        <v>49.32107</v>
      </c>
    </row>
    <row r="42">
      <c r="A42" s="1" t="s">
        <v>12</v>
      </c>
      <c r="B42" s="1" t="s">
        <v>36</v>
      </c>
      <c r="C42" s="2">
        <v>1.765017E9</v>
      </c>
      <c r="D42" s="2">
        <v>89534.98</v>
      </c>
      <c r="E42" s="2">
        <v>89587.74</v>
      </c>
      <c r="F42" s="2">
        <v>89510.0</v>
      </c>
      <c r="G42" s="2">
        <v>89574.49</v>
      </c>
      <c r="H42" s="2">
        <v>43.1794</v>
      </c>
    </row>
    <row r="43">
      <c r="A43" s="1" t="s">
        <v>12</v>
      </c>
      <c r="B43" s="1" t="s">
        <v>36</v>
      </c>
      <c r="C43" s="2">
        <v>1.7650179E9</v>
      </c>
      <c r="D43" s="2">
        <v>89574.49</v>
      </c>
      <c r="E43" s="2">
        <v>89577.8</v>
      </c>
      <c r="F43" s="2">
        <v>89462.0</v>
      </c>
      <c r="G43" s="2">
        <v>89506.0</v>
      </c>
      <c r="H43" s="2">
        <v>40.53745</v>
      </c>
    </row>
    <row r="44">
      <c r="A44" s="1" t="s">
        <v>12</v>
      </c>
      <c r="B44" s="1" t="s">
        <v>36</v>
      </c>
      <c r="C44" s="2">
        <v>1.7650188E9</v>
      </c>
      <c r="D44" s="2">
        <v>89506.01</v>
      </c>
      <c r="E44" s="2">
        <v>89577.62</v>
      </c>
      <c r="F44" s="2">
        <v>89500.0</v>
      </c>
      <c r="G44" s="2">
        <v>89500.0</v>
      </c>
      <c r="H44" s="2">
        <v>39.00799</v>
      </c>
    </row>
    <row r="45">
      <c r="A45" s="1" t="s">
        <v>12</v>
      </c>
      <c r="B45" s="1" t="s">
        <v>36</v>
      </c>
      <c r="C45" s="2">
        <v>1.7650197E9</v>
      </c>
      <c r="D45" s="2">
        <v>89500.01</v>
      </c>
      <c r="E45" s="2">
        <v>89608.58</v>
      </c>
      <c r="F45" s="2">
        <v>89500.0</v>
      </c>
      <c r="G45" s="2">
        <v>89579.25</v>
      </c>
      <c r="H45" s="2">
        <v>97.59261</v>
      </c>
    </row>
    <row r="46">
      <c r="A46" s="1" t="s">
        <v>12</v>
      </c>
      <c r="B46" s="1" t="s">
        <v>36</v>
      </c>
      <c r="C46" s="2">
        <v>1.7650206E9</v>
      </c>
      <c r="D46" s="2">
        <v>89579.26</v>
      </c>
      <c r="E46" s="2">
        <v>89750.01</v>
      </c>
      <c r="F46" s="2">
        <v>89560.35</v>
      </c>
      <c r="G46" s="2">
        <v>89684.51</v>
      </c>
      <c r="H46" s="2">
        <v>355.24367</v>
      </c>
    </row>
    <row r="47">
      <c r="A47" s="1" t="s">
        <v>12</v>
      </c>
      <c r="B47" s="1" t="s">
        <v>36</v>
      </c>
      <c r="C47" s="2">
        <v>1.7650215E9</v>
      </c>
      <c r="D47" s="2">
        <v>89684.51</v>
      </c>
      <c r="E47" s="2">
        <v>89733.32</v>
      </c>
      <c r="F47" s="2">
        <v>89612.0</v>
      </c>
      <c r="G47" s="2">
        <v>89631.28</v>
      </c>
      <c r="H47" s="2">
        <v>76.8576</v>
      </c>
    </row>
    <row r="48">
      <c r="A48" s="1" t="s">
        <v>12</v>
      </c>
      <c r="B48" s="1" t="s">
        <v>36</v>
      </c>
      <c r="C48" s="2">
        <v>1.7650224E9</v>
      </c>
      <c r="D48" s="2">
        <v>89631.29</v>
      </c>
      <c r="E48" s="2">
        <v>89637.95</v>
      </c>
      <c r="F48" s="2">
        <v>89566.0</v>
      </c>
      <c r="G48" s="2">
        <v>89582.26</v>
      </c>
      <c r="H48" s="2">
        <v>79.46369</v>
      </c>
    </row>
    <row r="49">
      <c r="A49" s="1" t="s">
        <v>12</v>
      </c>
      <c r="B49" s="1" t="s">
        <v>36</v>
      </c>
      <c r="C49" s="2">
        <v>1.7650233E9</v>
      </c>
      <c r="D49" s="2">
        <v>89582.27</v>
      </c>
      <c r="E49" s="2">
        <v>89632.66</v>
      </c>
      <c r="F49" s="2">
        <v>89574.86</v>
      </c>
      <c r="G49" s="2">
        <v>89616.33</v>
      </c>
      <c r="H49" s="2">
        <v>52.05189</v>
      </c>
    </row>
    <row r="50">
      <c r="A50" s="1" t="s">
        <v>12</v>
      </c>
      <c r="B50" s="1" t="s">
        <v>36</v>
      </c>
      <c r="C50" s="2">
        <v>1.7650242E9</v>
      </c>
      <c r="D50" s="2">
        <v>89616.33</v>
      </c>
      <c r="E50" s="2">
        <v>89648.96</v>
      </c>
      <c r="F50" s="2">
        <v>89566.0</v>
      </c>
      <c r="G50" s="2">
        <v>89599.22</v>
      </c>
      <c r="H50" s="2">
        <v>37.86053</v>
      </c>
    </row>
    <row r="51">
      <c r="A51" s="1" t="s">
        <v>12</v>
      </c>
      <c r="B51" s="1" t="s">
        <v>36</v>
      </c>
      <c r="C51" s="2">
        <v>1.7650251E9</v>
      </c>
      <c r="D51" s="2">
        <v>89599.22</v>
      </c>
      <c r="E51" s="2">
        <v>89634.78</v>
      </c>
      <c r="F51" s="2">
        <v>89570.51</v>
      </c>
      <c r="G51" s="2">
        <v>89581.19</v>
      </c>
      <c r="H51" s="2">
        <v>86.65106</v>
      </c>
    </row>
    <row r="52">
      <c r="A52" s="1" t="s">
        <v>12</v>
      </c>
      <c r="B52" s="1" t="s">
        <v>36</v>
      </c>
      <c r="C52" s="2">
        <v>1.765026E9</v>
      </c>
      <c r="D52" s="2">
        <v>89581.19</v>
      </c>
      <c r="E52" s="2">
        <v>89633.67</v>
      </c>
      <c r="F52" s="2">
        <v>89581.19</v>
      </c>
      <c r="G52" s="2">
        <v>89611.43</v>
      </c>
      <c r="H52" s="2">
        <v>46.63324</v>
      </c>
    </row>
    <row r="53">
      <c r="A53" s="1" t="s">
        <v>12</v>
      </c>
      <c r="B53" s="1" t="s">
        <v>36</v>
      </c>
      <c r="C53" s="2">
        <v>1.7650269E9</v>
      </c>
      <c r="D53" s="2">
        <v>89611.43</v>
      </c>
      <c r="E53" s="2">
        <v>89703.0</v>
      </c>
      <c r="F53" s="2">
        <v>89590.0</v>
      </c>
      <c r="G53" s="2">
        <v>89688.18</v>
      </c>
      <c r="H53" s="2">
        <v>49.28903</v>
      </c>
    </row>
    <row r="54">
      <c r="A54" s="1" t="s">
        <v>12</v>
      </c>
      <c r="B54" s="1" t="s">
        <v>36</v>
      </c>
      <c r="C54" s="2">
        <v>1.7650278E9</v>
      </c>
      <c r="D54" s="2">
        <v>89688.25</v>
      </c>
      <c r="E54" s="2">
        <v>89783.15</v>
      </c>
      <c r="F54" s="2">
        <v>89638.25</v>
      </c>
      <c r="G54" s="2">
        <v>89783.15</v>
      </c>
      <c r="H54" s="2">
        <v>93.11264</v>
      </c>
    </row>
    <row r="55">
      <c r="A55" s="1" t="s">
        <v>12</v>
      </c>
      <c r="B55" s="1" t="s">
        <v>36</v>
      </c>
      <c r="C55" s="2">
        <v>1.7650287E9</v>
      </c>
      <c r="D55" s="2">
        <v>89783.15</v>
      </c>
      <c r="E55" s="2">
        <v>89788.56</v>
      </c>
      <c r="F55" s="2">
        <v>89654.33</v>
      </c>
      <c r="G55" s="2">
        <v>89673.73</v>
      </c>
      <c r="H55" s="2">
        <v>63.82577</v>
      </c>
    </row>
    <row r="56">
      <c r="A56" s="1" t="s">
        <v>12</v>
      </c>
      <c r="B56" s="1" t="s">
        <v>36</v>
      </c>
      <c r="C56" s="2">
        <v>1.7650296E9</v>
      </c>
      <c r="D56" s="2">
        <v>89673.73</v>
      </c>
      <c r="E56" s="2">
        <v>89740.14</v>
      </c>
      <c r="F56" s="2">
        <v>89659.0</v>
      </c>
      <c r="G56" s="2">
        <v>89740.13</v>
      </c>
      <c r="H56" s="2">
        <v>109.19678</v>
      </c>
    </row>
    <row r="57">
      <c r="A57" s="1" t="s">
        <v>12</v>
      </c>
      <c r="B57" s="1" t="s">
        <v>36</v>
      </c>
      <c r="C57" s="2">
        <v>1.7650305E9</v>
      </c>
      <c r="D57" s="2">
        <v>89740.13</v>
      </c>
      <c r="E57" s="2">
        <v>90289.97</v>
      </c>
      <c r="F57" s="2">
        <v>89740.12</v>
      </c>
      <c r="G57" s="2">
        <v>89934.04</v>
      </c>
      <c r="H57" s="2">
        <v>492.43262</v>
      </c>
    </row>
    <row r="58">
      <c r="A58" s="1" t="s">
        <v>12</v>
      </c>
      <c r="B58" s="1" t="s">
        <v>36</v>
      </c>
      <c r="C58" s="2">
        <v>1.7650314E9</v>
      </c>
      <c r="D58" s="2">
        <v>89934.05</v>
      </c>
      <c r="E58" s="2">
        <v>90079.75</v>
      </c>
      <c r="F58" s="2">
        <v>89904.57</v>
      </c>
      <c r="G58" s="2">
        <v>90064.5</v>
      </c>
      <c r="H58" s="2">
        <v>202.07498</v>
      </c>
    </row>
    <row r="59">
      <c r="A59" s="1" t="s">
        <v>12</v>
      </c>
      <c r="B59" s="1" t="s">
        <v>36</v>
      </c>
      <c r="C59" s="2">
        <v>1.7650323E9</v>
      </c>
      <c r="D59" s="2">
        <v>90064.5</v>
      </c>
      <c r="E59" s="2">
        <v>90200.01</v>
      </c>
      <c r="F59" s="2">
        <v>90004.75</v>
      </c>
      <c r="G59" s="2">
        <v>90004.76</v>
      </c>
      <c r="H59" s="2">
        <v>264.29687</v>
      </c>
    </row>
    <row r="60">
      <c r="A60" s="1" t="s">
        <v>12</v>
      </c>
      <c r="B60" s="1" t="s">
        <v>36</v>
      </c>
      <c r="C60" s="2">
        <v>1.7650332E9</v>
      </c>
      <c r="D60" s="2">
        <v>90004.76</v>
      </c>
      <c r="E60" s="2">
        <v>90042.54</v>
      </c>
      <c r="F60" s="2">
        <v>89819.24</v>
      </c>
      <c r="G60" s="2">
        <v>89841.38</v>
      </c>
      <c r="H60" s="2">
        <v>121.81695</v>
      </c>
    </row>
    <row r="61">
      <c r="A61" s="1" t="s">
        <v>12</v>
      </c>
      <c r="B61" s="1" t="s">
        <v>36</v>
      </c>
      <c r="C61" s="2">
        <v>1.7650341E9</v>
      </c>
      <c r="D61" s="2">
        <v>89841.38</v>
      </c>
      <c r="E61" s="2">
        <v>89841.39</v>
      </c>
      <c r="F61" s="2">
        <v>89490.98</v>
      </c>
      <c r="G61" s="2">
        <v>89639.84</v>
      </c>
      <c r="H61" s="2">
        <v>170.92515</v>
      </c>
    </row>
    <row r="62">
      <c r="A62" s="1" t="s">
        <v>12</v>
      </c>
      <c r="B62" s="1" t="s">
        <v>36</v>
      </c>
      <c r="C62" s="2">
        <v>1.765035E9</v>
      </c>
      <c r="D62" s="2">
        <v>89639.84</v>
      </c>
      <c r="E62" s="2">
        <v>89914.0</v>
      </c>
      <c r="F62" s="2">
        <v>89572.84</v>
      </c>
      <c r="G62" s="2">
        <v>89873.61</v>
      </c>
      <c r="H62" s="2">
        <v>117.51404</v>
      </c>
    </row>
    <row r="63">
      <c r="A63" s="1" t="s">
        <v>12</v>
      </c>
      <c r="B63" s="1" t="s">
        <v>36</v>
      </c>
      <c r="C63" s="2">
        <v>1.7650359E9</v>
      </c>
      <c r="D63" s="2">
        <v>89873.6</v>
      </c>
      <c r="E63" s="2">
        <v>89950.9</v>
      </c>
      <c r="F63" s="2">
        <v>89726.53</v>
      </c>
      <c r="G63" s="2">
        <v>89758.77</v>
      </c>
      <c r="H63" s="2">
        <v>64.93542</v>
      </c>
    </row>
    <row r="64">
      <c r="A64" s="1" t="s">
        <v>12</v>
      </c>
      <c r="B64" s="1" t="s">
        <v>36</v>
      </c>
      <c r="C64" s="2">
        <v>1.7650368E9</v>
      </c>
      <c r="D64" s="2">
        <v>89758.77</v>
      </c>
      <c r="E64" s="2">
        <v>89981.2</v>
      </c>
      <c r="F64" s="2">
        <v>89745.74</v>
      </c>
      <c r="G64" s="2">
        <v>89939.11</v>
      </c>
      <c r="H64" s="2">
        <v>61.70669</v>
      </c>
    </row>
    <row r="65">
      <c r="A65" s="1" t="s">
        <v>12</v>
      </c>
      <c r="B65" s="1" t="s">
        <v>36</v>
      </c>
      <c r="C65" s="2">
        <v>1.7650377E9</v>
      </c>
      <c r="D65" s="2">
        <v>89939.11</v>
      </c>
      <c r="E65" s="2">
        <v>89976.79</v>
      </c>
      <c r="F65" s="2">
        <v>89862.2</v>
      </c>
      <c r="G65" s="2">
        <v>89882.46</v>
      </c>
      <c r="H65" s="2">
        <v>88.7377</v>
      </c>
    </row>
    <row r="66">
      <c r="A66" s="1" t="s">
        <v>12</v>
      </c>
      <c r="B66" s="1" t="s">
        <v>36</v>
      </c>
      <c r="C66" s="2">
        <v>1.7650386E9</v>
      </c>
      <c r="D66" s="2">
        <v>89882.47</v>
      </c>
      <c r="E66" s="2">
        <v>89927.02</v>
      </c>
      <c r="F66" s="2">
        <v>89800.0</v>
      </c>
      <c r="G66" s="2">
        <v>89824.49</v>
      </c>
      <c r="H66" s="2">
        <v>111.44211</v>
      </c>
    </row>
    <row r="67">
      <c r="A67" s="1" t="s">
        <v>12</v>
      </c>
      <c r="B67" s="1" t="s">
        <v>36</v>
      </c>
      <c r="C67" s="2">
        <v>1.7650395E9</v>
      </c>
      <c r="D67" s="2">
        <v>89824.48</v>
      </c>
      <c r="E67" s="2">
        <v>89831.73</v>
      </c>
      <c r="F67" s="2">
        <v>89680.34</v>
      </c>
      <c r="G67" s="2">
        <v>89707.8</v>
      </c>
      <c r="H67" s="2">
        <v>42.58901</v>
      </c>
    </row>
    <row r="68">
      <c r="A68" s="1" t="s">
        <v>12</v>
      </c>
      <c r="B68" s="1" t="s">
        <v>36</v>
      </c>
      <c r="C68" s="2">
        <v>1.7650404E9</v>
      </c>
      <c r="D68" s="2">
        <v>89707.8</v>
      </c>
      <c r="E68" s="2">
        <v>89780.75</v>
      </c>
      <c r="F68" s="2">
        <v>89626.21</v>
      </c>
      <c r="G68" s="2">
        <v>89698.76</v>
      </c>
      <c r="H68" s="2">
        <v>77.88237</v>
      </c>
    </row>
    <row r="69">
      <c r="A69" s="1" t="s">
        <v>12</v>
      </c>
      <c r="B69" s="1" t="s">
        <v>36</v>
      </c>
      <c r="C69" s="2">
        <v>1.7650413E9</v>
      </c>
      <c r="D69" s="2">
        <v>89698.75</v>
      </c>
      <c r="E69" s="2">
        <v>89846.98</v>
      </c>
      <c r="F69" s="2">
        <v>89633.14</v>
      </c>
      <c r="G69" s="2">
        <v>89844.48</v>
      </c>
      <c r="H69" s="2">
        <v>96.56015</v>
      </c>
    </row>
    <row r="70">
      <c r="A70" s="1" t="s">
        <v>12</v>
      </c>
      <c r="B70" s="1" t="s">
        <v>36</v>
      </c>
      <c r="C70" s="2">
        <v>1.7650422E9</v>
      </c>
      <c r="D70" s="2">
        <v>89844.47</v>
      </c>
      <c r="E70" s="2">
        <v>89844.47</v>
      </c>
      <c r="F70" s="2">
        <v>89653.01</v>
      </c>
      <c r="G70" s="2">
        <v>89663.85</v>
      </c>
      <c r="H70" s="2">
        <v>83.93768</v>
      </c>
    </row>
    <row r="71">
      <c r="A71" s="1" t="s">
        <v>12</v>
      </c>
      <c r="B71" s="1" t="s">
        <v>36</v>
      </c>
      <c r="C71" s="2">
        <v>1.7650431E9</v>
      </c>
      <c r="D71" s="2">
        <v>89663.84</v>
      </c>
      <c r="E71" s="2">
        <v>89715.7</v>
      </c>
      <c r="F71" s="2">
        <v>89615.38</v>
      </c>
      <c r="G71" s="2">
        <v>89712.85</v>
      </c>
      <c r="H71" s="2">
        <v>52.40593</v>
      </c>
    </row>
    <row r="72">
      <c r="A72" s="1" t="s">
        <v>12</v>
      </c>
      <c r="B72" s="1" t="s">
        <v>36</v>
      </c>
      <c r="C72" s="2">
        <v>1.765044E9</v>
      </c>
      <c r="D72" s="2">
        <v>89712.85</v>
      </c>
      <c r="E72" s="2">
        <v>89766.14</v>
      </c>
      <c r="F72" s="2">
        <v>89627.78</v>
      </c>
      <c r="G72" s="2">
        <v>89766.14</v>
      </c>
      <c r="H72" s="2">
        <v>45.14179</v>
      </c>
    </row>
    <row r="73">
      <c r="A73" s="1" t="s">
        <v>12</v>
      </c>
      <c r="B73" s="1" t="s">
        <v>36</v>
      </c>
      <c r="C73" s="2">
        <v>1.7650449E9</v>
      </c>
      <c r="D73" s="2">
        <v>89766.14</v>
      </c>
      <c r="E73" s="2">
        <v>89787.99</v>
      </c>
      <c r="F73" s="2">
        <v>89699.16</v>
      </c>
      <c r="G73" s="2">
        <v>89761.53</v>
      </c>
      <c r="H73" s="2">
        <v>40.91046</v>
      </c>
    </row>
    <row r="74">
      <c r="A74" s="1" t="s">
        <v>12</v>
      </c>
      <c r="B74" s="1" t="s">
        <v>36</v>
      </c>
      <c r="C74" s="2">
        <v>1.7650458E9</v>
      </c>
      <c r="D74" s="2">
        <v>89761.52</v>
      </c>
      <c r="E74" s="2">
        <v>89761.53</v>
      </c>
      <c r="F74" s="2">
        <v>89640.43</v>
      </c>
      <c r="G74" s="2">
        <v>89640.43</v>
      </c>
      <c r="H74" s="2">
        <v>47.34519</v>
      </c>
    </row>
    <row r="75">
      <c r="A75" s="1" t="s">
        <v>12</v>
      </c>
      <c r="B75" s="1" t="s">
        <v>36</v>
      </c>
      <c r="C75" s="2">
        <v>1.7650467E9</v>
      </c>
      <c r="D75" s="2">
        <v>89640.44</v>
      </c>
      <c r="E75" s="2">
        <v>89646.72</v>
      </c>
      <c r="F75" s="2">
        <v>89529.9</v>
      </c>
      <c r="G75" s="2">
        <v>89646.71</v>
      </c>
      <c r="H75" s="2">
        <v>46.7729</v>
      </c>
    </row>
    <row r="76">
      <c r="A76" s="1" t="s">
        <v>12</v>
      </c>
      <c r="B76" s="1" t="s">
        <v>36</v>
      </c>
      <c r="C76" s="2">
        <v>1.7650476E9</v>
      </c>
      <c r="D76" s="2">
        <v>89646.7</v>
      </c>
      <c r="E76" s="2">
        <v>89744.62</v>
      </c>
      <c r="F76" s="2">
        <v>89333.33</v>
      </c>
      <c r="G76" s="2">
        <v>89487.2</v>
      </c>
      <c r="H76" s="2">
        <v>171.03463</v>
      </c>
    </row>
    <row r="77">
      <c r="A77" s="1" t="s">
        <v>12</v>
      </c>
      <c r="B77" s="1" t="s">
        <v>36</v>
      </c>
      <c r="C77" s="2">
        <v>1.7650485E9</v>
      </c>
      <c r="D77" s="2">
        <v>89487.21</v>
      </c>
      <c r="E77" s="2">
        <v>89572.56</v>
      </c>
      <c r="F77" s="2">
        <v>89380.0</v>
      </c>
      <c r="G77" s="2">
        <v>89554.0</v>
      </c>
      <c r="H77" s="2">
        <v>75.50111</v>
      </c>
    </row>
    <row r="78">
      <c r="A78" s="1" t="s">
        <v>12</v>
      </c>
      <c r="B78" s="1" t="s">
        <v>36</v>
      </c>
      <c r="C78" s="2">
        <v>1.7650494E9</v>
      </c>
      <c r="D78" s="2">
        <v>89554.09</v>
      </c>
      <c r="E78" s="2">
        <v>89559.73</v>
      </c>
      <c r="F78" s="2">
        <v>89077.6</v>
      </c>
      <c r="G78" s="2">
        <v>89432.69</v>
      </c>
      <c r="H78" s="2">
        <v>413.39272</v>
      </c>
    </row>
    <row r="79">
      <c r="A79" s="1" t="s">
        <v>12</v>
      </c>
      <c r="B79" s="1" t="s">
        <v>36</v>
      </c>
      <c r="C79" s="2">
        <v>1.7650503E9</v>
      </c>
      <c r="D79" s="2">
        <v>89432.7</v>
      </c>
      <c r="E79" s="2">
        <v>89470.94</v>
      </c>
      <c r="F79" s="2">
        <v>89360.0</v>
      </c>
      <c r="G79" s="2">
        <v>89405.64</v>
      </c>
      <c r="H79" s="2">
        <v>28.2357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26</v>
      </c>
      <c r="C1" s="1" t="s">
        <v>37</v>
      </c>
      <c r="D1" s="1" t="s">
        <v>38</v>
      </c>
      <c r="E1" s="1" t="s">
        <v>39</v>
      </c>
      <c r="F1" s="1" t="s">
        <v>40</v>
      </c>
      <c r="G1" s="1" t="s">
        <v>41</v>
      </c>
      <c r="H1" s="1" t="s">
        <v>42</v>
      </c>
      <c r="I1" s="1" t="s">
        <v>43</v>
      </c>
      <c r="J1" s="1" t="s">
        <v>44</v>
      </c>
      <c r="K1" s="1" t="s">
        <v>33</v>
      </c>
      <c r="L1" s="1" t="s">
        <v>34</v>
      </c>
      <c r="M1" s="1" t="s">
        <v>35</v>
      </c>
    </row>
    <row r="2">
      <c r="A2" s="1" t="str">
        <f>'00_Active_Grid'!A2</f>
        <v>BTC</v>
      </c>
      <c r="B2" s="1" t="str">
        <f>'00_Active_Grid'!B2</f>
        <v>15m</v>
      </c>
      <c r="C2" s="3">
        <f>IFERROR(__xludf.DUMMYFUNCTION("INDEX(
  FILTER(Data_Staging!G:G,
         Data_Staging!A:A=A2,
         Data_Staging!B:B=B2),
  COUNTA(
    FILTER(Data_Staging!G:G,
           Data_Staging!A:A=A2,
           Data_Staging!B:B=B2)
  )
)"),89405.64)</f>
        <v>89405.64</v>
      </c>
      <c r="D2" s="3">
        <f>IFERROR(__xludf.DUMMYFUNCTION("INDEX(
  FILTER(Data_Staging!G:G,
         Data_Staging!A:A=A2,
         Data_Staging!B:B=B2),
  COUNTA(
    FILTER(Data_Staging!G:G,
           Data_Staging!A:A=A2,
           Data_Staging!B:B=B2)
  ) - 1
)"),89432.69)</f>
        <v>89432.69</v>
      </c>
      <c r="E2" s="3">
        <f>IFERROR(__xludf.DUMMYFUNCTION("IFERROR(
  MAX(
    INDEX(
      FILTER(Data_Staging!E2:E1000, Data_Staging!A2:A1000=A2, Data_Staging!B2:B1000=B2),
      SEQUENCE(
        20, 1,
        ROWS(FILTER(Data_Staging!E2:E1000, Data_Staging!A2:A1000=A2, Data_Staging!B2:B1000=B2)) - 19,
      "&amp;"  1
      )
    )
  ),
"""")"),90042.54)</f>
        <v>90042.54</v>
      </c>
      <c r="F2" s="3">
        <f>IFERROR(__xludf.DUMMYFUNCTION("IFERROR(
  MIN(
    INDEX(
      FILTER(Data_Staging!F2:F1000, Data_Staging!A2:A1000=A2, Data_Staging!B2:B1000=B2),
      SEQUENCE(
        20, 1,
        ROWS(FILTER(Data_Staging!F2:F1000, Data_Staging!A2:A1000=A2, Data_Staging!B2:B1000=B2)) - 19,
      "&amp;"  1
      )
    )
  ),
"""")"),89819.24)</f>
        <v>89819.24</v>
      </c>
      <c r="G2" s="3">
        <f>IFERROR(__xludf.DUMMYFUNCTION("IFERROR(
  AVERAGE(
    INDEX(
      FILTER(Data_Staging!E2:E1000 - Data_Staging!F2:F1000, Data_Staging!A2:A1000=A2, Data_Staging!B2:B1000=B2),
      SEQUENCE(
        14, 1,
        ROWS(FILTER(Data_Staging!E2:E1000, Data_Staging!A2:A1000=A2, Data_Stagin"&amp;"g!B2:B1000=B2)) - 13,
        1
      )
    )
  ),
"""")"),127.02000000000407)</f>
        <v>127.02</v>
      </c>
      <c r="H2" s="3" t="str">
        <f t="shared" ref="H2:H6" si="1">IF(B2&gt;C2,"UP",IF(B2&lt;C2,"DOWN","FLAT"))</f>
        <v>UP</v>
      </c>
      <c r="I2" s="3">
        <f t="shared" ref="I2:I6" si="2">IF(OR(G2="",C2=""),"",
   IF(G2/C2&gt;=0.02,3,
      IF(G2/C2&gt;=0.01,2,
         IF(G2/C2&gt;=0.005,1,0)
      )
   )
)</f>
        <v>0</v>
      </c>
      <c r="J2" s="1" t="str">
        <f>'00_Active_Grid'!J2</f>
        <v/>
      </c>
      <c r="K2" s="3">
        <f>IFERROR(__xludf.DUMMYFUNCTION("IFERROR(
  INDEX(
    FILTER(Data_Staging!H2:H1000, Data_Staging!A2:A1000=A2, Data_Staging!B2:B1000=B2),
    ROWS(FILTER(Data_Staging!H2:H1000, Data_Staging!A2:A1000=A2, Data_Staging!B2:B1000=B2))
  ),
"""")
"),28.2357)</f>
        <v>28.2357</v>
      </c>
      <c r="L2" s="3">
        <f>IFERROR(__xludf.DUMMYFUNCTION("IFERROR(
  AVERAGE(
    INDEX(
      FILTER(Data_Staging!H2:H1000, Data_Staging!A2:A1000=A2, Data_Staging!B2:B1000=B2),
      SEQUENCE(20,1, ROWS(FILTER(Data_Staging!H2:H1000, Data_Staging!A2:A1000=A2, Data_Staging!B2:B1000=B2))-19, 1)
    )
  ),
"""")
"),121.81695)</f>
        <v>121.81695</v>
      </c>
      <c r="M2" s="3" t="b">
        <f t="shared" ref="M2:M6" si="3">IF(OR(K2="",L2="",L2=0), FALSE, K2&gt;=1.5*L2)
</f>
        <v>0</v>
      </c>
    </row>
    <row r="3">
      <c r="A3" s="1" t="str">
        <f>'00_Active_Grid'!A3</f>
        <v>ETH</v>
      </c>
      <c r="B3" s="1" t="str">
        <f>'00_Active_Grid'!B3</f>
        <v>15m</v>
      </c>
      <c r="C3" s="3">
        <f>IFERROR(__xludf.DUMMYFUNCTION("INDEX(
  FILTER(Data_Staging!G:G,
         Data_Staging!A:A=A3,
         Data_Staging!B:B=B3),
  COUNTA(
    FILTER(Data_Staging!G:G,
           Data_Staging!A:A=A3,
           Data_Staging!B:B=B3)
  )
)"),89405.64)</f>
        <v>89405.64</v>
      </c>
      <c r="D3" s="3">
        <f>IFERROR(__xludf.DUMMYFUNCTION("INDEX(
  FILTER(Data_Staging!G:G,
         Data_Staging!A:A=A3,
         Data_Staging!B:B=B3),
  COUNTA(
    FILTER(Data_Staging!G:G,
           Data_Staging!A:A=A3,
           Data_Staging!B:B=B3)
  ) - 1
)"),89432.69)</f>
        <v>89432.69</v>
      </c>
      <c r="E3" s="3">
        <f>IFERROR(__xludf.DUMMYFUNCTION("IFERROR(
  MAX(
    INDEX(
      FILTER(Data_Staging!E3:E1000, Data_Staging!A3:A1000=A3, Data_Staging!B3:B1000=B3),
      SEQUENCE(
        20, 1,
        ROWS(FILTER(Data_Staging!E3:E1000, Data_Staging!A3:A1000=A3, Data_Staging!B3:B1000=B3)) - 19,
      "&amp;"  1
      )
    )
  ),
"""")"),90042.54)</f>
        <v>90042.54</v>
      </c>
      <c r="F3" s="3">
        <f>IFERROR(__xludf.DUMMYFUNCTION("IFERROR(
  MIN(
    INDEX(
      FILTER(Data_Staging!F3:F1000, Data_Staging!A3:A1000=A3, Data_Staging!B3:B1000=B3),
      SEQUENCE(
        20, 1,
        ROWS(FILTER(Data_Staging!F3:F1000, Data_Staging!A3:A1000=A3, Data_Staging!B3:B1000=B3)) - 19,
      "&amp;"  1
      )
    )
  ),
"""")"),89819.24)</f>
        <v>89819.24</v>
      </c>
      <c r="G3" s="3">
        <f>IFERROR(__xludf.DUMMYFUNCTION("IFERROR(
  AVERAGE(
    INDEX(
      FILTER(Data_Staging!E3:E1000 - Data_Staging!F3:F1000, Data_Staging!A3:A1000=A3, Data_Staging!B3:B1000=B3),
      SEQUENCE(
        14, 1,
        ROWS(FILTER(Data_Staging!E3:E1000, Data_Staging!A3:A1000=A3, Data_Stagin"&amp;"g!B3:B1000=B3)) - 13,
        1
      )
    )
  ),
"""")"),127.02000000000407)</f>
        <v>127.02</v>
      </c>
      <c r="H3" s="3" t="str">
        <f t="shared" si="1"/>
        <v>UP</v>
      </c>
      <c r="I3" s="3">
        <f t="shared" si="2"/>
        <v>0</v>
      </c>
      <c r="J3" s="1" t="str">
        <f>'00_Active_Grid'!J3</f>
        <v/>
      </c>
      <c r="K3" s="3">
        <f>IFERROR(__xludf.DUMMYFUNCTION("IFERROR(
  INDEX(
    FILTER(Data_Staging!H3:H1000, Data_Staging!A3:A1000=A3, Data_Staging!B3:B1000=B3),
    ROWS(FILTER(Data_Staging!H3:H1000, Data_Staging!A3:A1000=A3, Data_Staging!B3:B1000=B3))
  ),
"""")
"),28.2357)</f>
        <v>28.2357</v>
      </c>
      <c r="L3" s="3">
        <f>IFERROR(__xludf.DUMMYFUNCTION("IFERROR(
  AVERAGE(
    INDEX(
      FILTER(Data_Staging!H3:H1000, Data_Staging!A3:A1000=A3, Data_Staging!B3:B1000=B3),
      SEQUENCE(20,1, ROWS(FILTER(Data_Staging!H3:H1000, Data_Staging!A3:A1000=A3, Data_Staging!B3:B1000=B3))-19, 1)
    )
  ),
"""")
"),121.81695)</f>
        <v>121.81695</v>
      </c>
      <c r="M3" s="3" t="b">
        <f t="shared" si="3"/>
        <v>0</v>
      </c>
    </row>
    <row r="4">
      <c r="A4" s="1" t="str">
        <f>'00_Active_Grid'!A4</f>
        <v>XRP</v>
      </c>
      <c r="B4" s="1" t="str">
        <f>'00_Active_Grid'!B4</f>
        <v>15m</v>
      </c>
      <c r="C4" s="3" t="str">
        <f>IFERROR(__xludf.DUMMYFUNCTION("INDEX(
  FILTER(Data_Staging!G:G,
         Data_Staging!A:A=A4,
         Data_Staging!B:B=B4),
  COUNTA(
    FILTER(Data_Staging!G:G,
           Data_Staging!A:A=A4,
           Data_Staging!B:B=B4)
  )
)"),"#N/A")</f>
        <v>#N/A</v>
      </c>
      <c r="D4" s="3" t="str">
        <f>IFERROR(__xludf.DUMMYFUNCTION("INDEX(
  FILTER(Data_Staging!G:G,
         Data_Staging!A:A=A4,
         Data_Staging!B:B=B4),
  COUNTA(
    FILTER(Data_Staging!G:G,
           Data_Staging!A:A=A4,
           Data_Staging!B:B=B4)
  ) - 1
)"),"#N/A")</f>
        <v>#N/A</v>
      </c>
      <c r="E4" s="3" t="str">
        <f>IFERROR(__xludf.DUMMYFUNCTION("IFERROR(
  MAX(
    INDEX(
      FILTER(Data_Staging!E4:E1000, Data_Staging!A4:A1000=A4, Data_Staging!B4:B1000=B4),
      SEQUENCE(
        20, 1,
        ROWS(FILTER(Data_Staging!E4:E1000, Data_Staging!A4:A1000=A4, Data_Staging!B4:B1000=B4)) - 19,
      "&amp;"  1
      )
    )
  ),
"""")"),"")</f>
        <v/>
      </c>
      <c r="F4" s="3" t="str">
        <f>IFERROR(__xludf.DUMMYFUNCTION("IFERROR(
  MIN(
    INDEX(
      FILTER(Data_Staging!F4:F1000, Data_Staging!A4:A1000=A4, Data_Staging!B4:B1000=B4),
      SEQUENCE(
        20, 1,
        ROWS(FILTER(Data_Staging!F4:F1000, Data_Staging!A4:A1000=A4, Data_Staging!B4:B1000=B4)) - 19,
      "&amp;"  1
      )
    )
  ),
"""")"),"")</f>
        <v/>
      </c>
      <c r="G4" s="3" t="str">
        <f>IFERROR(__xludf.DUMMYFUNCTION("IFERROR(
  AVERAGE(
    INDEX(
      FILTER(Data_Staging!E4:E1000 - Data_Staging!F4:F1000, Data_Staging!A4:A1000=A4, Data_Staging!B4:B1000=B4),
      SEQUENCE(
        14, 1,
        ROWS(FILTER(Data_Staging!E4:E1000, Data_Staging!A4:A1000=A4, Data_Stagin"&amp;"g!B4:B1000=B4)) - 13,
        1
      )
    )
  ),
"""")"),"")</f>
        <v/>
      </c>
      <c r="H4" s="3" t="str">
        <f t="shared" si="1"/>
        <v>#N/A</v>
      </c>
      <c r="I4" s="3" t="str">
        <f t="shared" si="2"/>
        <v>#N/A</v>
      </c>
      <c r="J4" s="1" t="str">
        <f>'00_Active_Grid'!J4</f>
        <v/>
      </c>
      <c r="K4" s="3" t="str">
        <f>IFERROR(__xludf.DUMMYFUNCTION("IFERROR(
  INDEX(
    FILTER(Data_Staging!H4:H1000, Data_Staging!A4:A1000=A4, Data_Staging!B4:B1000=B4),
    ROWS(FILTER(Data_Staging!H4:H1000, Data_Staging!A4:A1000=A4, Data_Staging!B4:B1000=B4))
  ),
"""")
"),"")</f>
        <v/>
      </c>
      <c r="L4" s="3" t="str">
        <f>IFERROR(__xludf.DUMMYFUNCTION("IFERROR(
  AVERAGE(
    INDEX(
      FILTER(Data_Staging!H4:H1000, Data_Staging!A4:A1000=A4, Data_Staging!B4:B1000=B4),
      SEQUENCE(20,1, ROWS(FILTER(Data_Staging!H4:H1000, Data_Staging!A4:A1000=A4, Data_Staging!B4:B1000=B4))-19, 1)
    )
  ),
"""")
"),"")</f>
        <v/>
      </c>
      <c r="M4" s="3" t="b">
        <f t="shared" si="3"/>
        <v>0</v>
      </c>
    </row>
    <row r="5">
      <c r="A5" s="1" t="str">
        <f>'00_Active_Grid'!A5</f>
        <v>XAU</v>
      </c>
      <c r="B5" s="1" t="str">
        <f>'00_Active_Grid'!B5</f>
        <v>15m</v>
      </c>
      <c r="C5" s="3" t="str">
        <f>IFERROR(__xludf.DUMMYFUNCTION("INDEX(
  FILTER(Data_Staging!G:G,
         Data_Staging!A:A=A5,
         Data_Staging!B:B=B5),
  COUNTA(
    FILTER(Data_Staging!G:G,
           Data_Staging!A:A=A5,
           Data_Staging!B:B=B5)
  )
)"),"#N/A")</f>
        <v>#N/A</v>
      </c>
      <c r="D5" s="3" t="str">
        <f>IFERROR(__xludf.DUMMYFUNCTION("INDEX(
  FILTER(Data_Staging!G:G,
         Data_Staging!A:A=A5,
         Data_Staging!B:B=B5),
  COUNTA(
    FILTER(Data_Staging!G:G,
           Data_Staging!A:A=A5,
           Data_Staging!B:B=B5)
  ) - 1
)"),"#N/A")</f>
        <v>#N/A</v>
      </c>
      <c r="E5" s="3" t="str">
        <f>IFERROR(__xludf.DUMMYFUNCTION("IFERROR(
  MAX(
    INDEX(
      FILTER(Data_Staging!E5:E1000, Data_Staging!A5:A1000=A5, Data_Staging!B5:B1000=B5),
      SEQUENCE(
        20, 1,
        ROWS(FILTER(Data_Staging!E5:E1000, Data_Staging!A5:A1000=A5, Data_Staging!B5:B1000=B5)) - 19,
      "&amp;"  1
      )
    )
  ),
"""")"),"")</f>
        <v/>
      </c>
      <c r="F5" s="3" t="str">
        <f>IFERROR(__xludf.DUMMYFUNCTION("IFERROR(
  MIN(
    INDEX(
      FILTER(Data_Staging!F5:F1000, Data_Staging!A5:A1000=A5, Data_Staging!B5:B1000=B5),
      SEQUENCE(
        20, 1,
        ROWS(FILTER(Data_Staging!F5:F1000, Data_Staging!A5:A1000=A5, Data_Staging!B5:B1000=B5)) - 19,
      "&amp;"  1
      )
    )
  ),
"""")"),"")</f>
        <v/>
      </c>
      <c r="G5" s="3" t="str">
        <f>IFERROR(__xludf.DUMMYFUNCTION("IFERROR(
  AVERAGE(
    INDEX(
      FILTER(Data_Staging!E5:E1000 - Data_Staging!F5:F1000, Data_Staging!A5:A1000=A5, Data_Staging!B5:B1000=B5),
      SEQUENCE(
        14, 1,
        ROWS(FILTER(Data_Staging!E5:E1000, Data_Staging!A5:A1000=A5, Data_Stagin"&amp;"g!B5:B1000=B5)) - 13,
        1
      )
    )
  ),
"""")"),"")</f>
        <v/>
      </c>
      <c r="H5" s="3" t="str">
        <f t="shared" si="1"/>
        <v>#N/A</v>
      </c>
      <c r="I5" s="3" t="str">
        <f t="shared" si="2"/>
        <v>#N/A</v>
      </c>
      <c r="J5" s="1" t="str">
        <f>'00_Active_Grid'!J5</f>
        <v/>
      </c>
      <c r="K5" s="3" t="str">
        <f>IFERROR(__xludf.DUMMYFUNCTION("IFERROR(
  INDEX(
    FILTER(Data_Staging!H5:H1000, Data_Staging!A5:A1000=A5, Data_Staging!B5:B1000=B5),
    ROWS(FILTER(Data_Staging!H5:H1000, Data_Staging!A5:A1000=A5, Data_Staging!B5:B1000=B5))
  ),
"""")
"),"")</f>
        <v/>
      </c>
      <c r="L5" s="3" t="str">
        <f>IFERROR(__xludf.DUMMYFUNCTION("IFERROR(
  AVERAGE(
    INDEX(
      FILTER(Data_Staging!H5:H1000, Data_Staging!A5:A1000=A5, Data_Staging!B5:B1000=B5),
      SEQUENCE(20,1, ROWS(FILTER(Data_Staging!H5:H1000, Data_Staging!A5:A1000=A5, Data_Staging!B5:B1000=B5))-19, 1)
    )
  ),
"""")
"),"")</f>
        <v/>
      </c>
      <c r="M5" s="3" t="b">
        <f t="shared" si="3"/>
        <v>0</v>
      </c>
    </row>
    <row r="6">
      <c r="A6" s="1" t="str">
        <f>'00_Active_Grid'!A6</f>
        <v>SPX</v>
      </c>
      <c r="B6" s="1" t="str">
        <f>'00_Active_Grid'!B6</f>
        <v>15m</v>
      </c>
      <c r="C6" s="3" t="str">
        <f>IFERROR(__xludf.DUMMYFUNCTION("INDEX(
  FILTER(Data_Staging!G:G,
         Data_Staging!A:A=A6,
         Data_Staging!B:B=B6),
  COUNTA(
    FILTER(Data_Staging!G:G,
           Data_Staging!A:A=A6,
           Data_Staging!B:B=B6)
  )
)"),"#N/A")</f>
        <v>#N/A</v>
      </c>
      <c r="D6" s="3" t="str">
        <f>IFERROR(__xludf.DUMMYFUNCTION("INDEX(
  FILTER(Data_Staging!G:G,
         Data_Staging!A:A=A6,
         Data_Staging!B:B=B6),
  COUNTA(
    FILTER(Data_Staging!G:G,
           Data_Staging!A:A=A6,
           Data_Staging!B:B=B6)
  ) - 1
)"),"#N/A")</f>
        <v>#N/A</v>
      </c>
      <c r="E6" s="3" t="str">
        <f>IFERROR(__xludf.DUMMYFUNCTION("IFERROR(
  MAX(
    INDEX(
      FILTER(Data_Staging!E6:E1000, Data_Staging!A6:A1000=A6, Data_Staging!B6:B1000=B6),
      SEQUENCE(
        20, 1,
        ROWS(FILTER(Data_Staging!E6:E1000, Data_Staging!A6:A1000=A6, Data_Staging!B6:B1000=B6)) - 19,
      "&amp;"  1
      )
    )
  ),
"""")"),"")</f>
        <v/>
      </c>
      <c r="F6" s="3" t="str">
        <f>IFERROR(__xludf.DUMMYFUNCTION("IFERROR(
  MIN(
    INDEX(
      FILTER(Data_Staging!F6:F1000, Data_Staging!A6:A1000=A6, Data_Staging!B6:B1000=B6),
      SEQUENCE(
        20, 1,
        ROWS(FILTER(Data_Staging!F6:F1000, Data_Staging!A6:A1000=A6, Data_Staging!B6:B1000=B6)) - 19,
      "&amp;"  1
      )
    )
  ),
"""")"),"")</f>
        <v/>
      </c>
      <c r="G6" s="3" t="str">
        <f>IFERROR(__xludf.DUMMYFUNCTION("IFERROR(
  AVERAGE(
    INDEX(
      FILTER(Data_Staging!E6:E1000 - Data_Staging!F6:F1000, Data_Staging!A6:A1000=A6, Data_Staging!B6:B1000=B6),
      SEQUENCE(
        14, 1,
        ROWS(FILTER(Data_Staging!E6:E1000, Data_Staging!A6:A1000=A6, Data_Stagin"&amp;"g!B6:B1000=B6)) - 13,
        1
      )
    )
  ),
"""")"),"")</f>
        <v/>
      </c>
      <c r="H6" s="3" t="str">
        <f t="shared" si="1"/>
        <v>#N/A</v>
      </c>
      <c r="I6" s="3" t="str">
        <f t="shared" si="2"/>
        <v>#N/A</v>
      </c>
      <c r="J6" s="1" t="str">
        <f>'00_Active_Grid'!J6</f>
        <v/>
      </c>
      <c r="K6" s="3" t="str">
        <f>IFERROR(__xludf.DUMMYFUNCTION("IFERROR(
  INDEX(
    FILTER(Data_Staging!H6:H1000, Data_Staging!A6:A1000=A6, Data_Staging!B6:B1000=B6),
    ROWS(FILTER(Data_Staging!H6:H1000, Data_Staging!A6:A1000=A6, Data_Staging!B6:B1000=B6))
  ),
"""")
"),"")</f>
        <v/>
      </c>
      <c r="L6" s="3" t="str">
        <f>IFERROR(__xludf.DUMMYFUNCTION("IFERROR(
  AVERAGE(
    INDEX(
      FILTER(Data_Staging!H6:H1000, Data_Staging!A6:A1000=A6, Data_Staging!B6:B1000=B6),
      SEQUENCE(20,1, ROWS(FILTER(Data_Staging!H6:H1000, Data_Staging!A6:A1000=A6, Data_Staging!B6:B1000=B6))-19, 1)
    )
  ),
"""")
"),"")</f>
        <v/>
      </c>
      <c r="M6" s="3" t="b">
        <f t="shared" si="3"/>
        <v>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26</v>
      </c>
      <c r="C1" s="1" t="s">
        <v>37</v>
      </c>
      <c r="D1" s="1" t="s">
        <v>38</v>
      </c>
      <c r="E1" s="1" t="s">
        <v>39</v>
      </c>
      <c r="F1" s="1" t="s">
        <v>40</v>
      </c>
      <c r="G1" s="1" t="s">
        <v>41</v>
      </c>
      <c r="H1" s="1" t="s">
        <v>42</v>
      </c>
      <c r="I1" s="1" t="s">
        <v>43</v>
      </c>
      <c r="J1" s="1" t="s">
        <v>45</v>
      </c>
      <c r="K1" s="1" t="s">
        <v>46</v>
      </c>
      <c r="L1" s="1" t="s">
        <v>47</v>
      </c>
      <c r="M1" s="1" t="s">
        <v>48</v>
      </c>
      <c r="N1" s="1" t="s">
        <v>49</v>
      </c>
      <c r="O1" s="1" t="s">
        <v>50</v>
      </c>
      <c r="P1" s="1" t="s">
        <v>51</v>
      </c>
      <c r="Q1" s="1" t="s">
        <v>52</v>
      </c>
      <c r="R1" s="1" t="s">
        <v>53</v>
      </c>
      <c r="S1" s="1" t="s">
        <v>44</v>
      </c>
    </row>
    <row r="2">
      <c r="A2" s="3" t="str">
        <f>'00_Active_Grid'!A2</f>
        <v>BTC</v>
      </c>
      <c r="B2" s="3" t="str">
        <f>'00_Active_Grid'!B2</f>
        <v>15m</v>
      </c>
      <c r="C2" s="3">
        <f>Shared_Inputs!C2</f>
        <v>89405.64</v>
      </c>
      <c r="D2" s="3">
        <f>Shared_Inputs!D2</f>
        <v>89432.69</v>
      </c>
      <c r="E2" s="3">
        <f>Shared_Inputs!E2</f>
        <v>90042.54</v>
      </c>
      <c r="F2" s="3">
        <f>Shared_Inputs!G2</f>
        <v>127.02</v>
      </c>
      <c r="G2" s="3" t="str">
        <f>Shared_Inputs!H2</f>
        <v>UP</v>
      </c>
      <c r="H2" s="3">
        <f>Shared_Inputs!I2</f>
        <v>0</v>
      </c>
      <c r="I2" s="3" t="str">
        <f>Shared_Inputs!J2</f>
        <v/>
      </c>
      <c r="J2" s="3" t="b">
        <f t="shared" ref="J2:J6" si="1">IF(OR(C2&gt;E2,C2&lt;F2),TRUE,FALSE)</f>
        <v>0</v>
      </c>
      <c r="K2" s="3" t="str">
        <f t="shared" ref="K2:K6" si="2">IF(J2=FALSE,"NONE",
   IF(C2&gt;E2,"UP",
      IF(C2&lt;F2,"DOWN","NONE")
   )
)</f>
        <v>NONE</v>
      </c>
      <c r="L2" s="3">
        <f t="shared" ref="L2:L6" si="3">IF(J2=FALSE,0,
   IF(ABS(C2-D2)&gt;=2*G2,3,
      IF(ABS(C2-D2)&gt;=1*G2,2,1)
   )
)</f>
        <v>0</v>
      </c>
      <c r="M2" s="3" t="b">
        <f t="shared" ref="M2:M6" si="4">IF(H2="FLAT",FALSE,
   IF(AND(H2="UP",C2&lt;D2),TRUE,
      IF(AND(H2="DOWN",C2&gt;D2),TRUE,FALSE)
   )
)</f>
        <v>0</v>
      </c>
      <c r="N2" s="3" t="str">
        <f t="shared" ref="N2:N6" si="5">IF(M2=FALSE,"NONE",
   IF(H2="UP","DOWN","UP")
)</f>
        <v>NONE</v>
      </c>
      <c r="O2" s="3">
        <f t="shared" ref="O2:O6" si="6">IF(M2=FALSE,0,
   IF(ABS(C2-D2)&gt;=1*G2,2,1)
)</f>
        <v>0</v>
      </c>
      <c r="P2" s="3" t="str">
        <f t="shared" ref="P2:P6" si="7">IF(K2="UP","EXPANSION",
   IF(K2="DOWN","MARKDOWN",
      IF(N2="UP","ACCUM",
         IF(N2="DOWN","DISTRIBUTION","NEUTRAL")
      )
   )
)</f>
        <v>NEUTRAL</v>
      </c>
      <c r="Q2" s="3" t="str">
        <f t="shared" ref="Q2:Q6" si="8">IF(P2="EXPANSION","LONG",
   IF(P2="MARKDOWN","SHORT","NEUTRAL")
)
</f>
        <v>NEUTRAL</v>
      </c>
      <c r="R2" s="3">
        <f t="shared" ref="R2:R6" si="9">MIN(3,
   (L2&gt;=2) +
   (O2=2) +
   (I2&gt;=1)
)
</f>
        <v>0</v>
      </c>
    </row>
    <row r="3">
      <c r="A3" s="3" t="str">
        <f>'00_Active_Grid'!A3</f>
        <v>ETH</v>
      </c>
      <c r="B3" s="3" t="str">
        <f>'00_Active_Grid'!B3</f>
        <v>15m</v>
      </c>
      <c r="C3" s="3">
        <f>Shared_Inputs!C3</f>
        <v>89405.64</v>
      </c>
      <c r="D3" s="3">
        <f>Shared_Inputs!D3</f>
        <v>89432.69</v>
      </c>
      <c r="E3" s="3">
        <f>Shared_Inputs!E3</f>
        <v>90042.54</v>
      </c>
      <c r="F3" s="3">
        <f>Shared_Inputs!G3</f>
        <v>127.02</v>
      </c>
      <c r="G3" s="3" t="str">
        <f>Shared_Inputs!H3</f>
        <v>UP</v>
      </c>
      <c r="H3" s="3">
        <f>Shared_Inputs!I3</f>
        <v>0</v>
      </c>
      <c r="I3" s="3" t="str">
        <f>Shared_Inputs!J3</f>
        <v/>
      </c>
      <c r="J3" s="3" t="b">
        <f t="shared" si="1"/>
        <v>0</v>
      </c>
      <c r="K3" s="3" t="str">
        <f t="shared" si="2"/>
        <v>NONE</v>
      </c>
      <c r="L3" s="3">
        <f t="shared" si="3"/>
        <v>0</v>
      </c>
      <c r="M3" s="3" t="b">
        <f t="shared" si="4"/>
        <v>0</v>
      </c>
      <c r="N3" s="3" t="str">
        <f t="shared" si="5"/>
        <v>NONE</v>
      </c>
      <c r="O3" s="3">
        <f t="shared" si="6"/>
        <v>0</v>
      </c>
      <c r="P3" s="3" t="str">
        <f t="shared" si="7"/>
        <v>NEUTRAL</v>
      </c>
      <c r="Q3" s="3" t="str">
        <f t="shared" si="8"/>
        <v>NEUTRAL</v>
      </c>
      <c r="R3" s="3">
        <f t="shared" si="9"/>
        <v>0</v>
      </c>
    </row>
    <row r="4">
      <c r="A4" s="3" t="str">
        <f>'00_Active_Grid'!A4</f>
        <v>XRP</v>
      </c>
      <c r="B4" s="3" t="str">
        <f>'00_Active_Grid'!B4</f>
        <v>15m</v>
      </c>
      <c r="C4" s="3" t="str">
        <f>Shared_Inputs!C4</f>
        <v>#N/A</v>
      </c>
      <c r="D4" s="3" t="str">
        <f>Shared_Inputs!D4</f>
        <v>#N/A</v>
      </c>
      <c r="E4" s="3" t="str">
        <f>Shared_Inputs!E4</f>
        <v/>
      </c>
      <c r="F4" s="3" t="str">
        <f>Shared_Inputs!G4</f>
        <v/>
      </c>
      <c r="G4" s="3" t="str">
        <f>Shared_Inputs!H4</f>
        <v>#N/A</v>
      </c>
      <c r="H4" s="3" t="str">
        <f>Shared_Inputs!I4</f>
        <v>#N/A</v>
      </c>
      <c r="I4" s="3" t="str">
        <f>Shared_Inputs!J4</f>
        <v/>
      </c>
      <c r="J4" s="3" t="str">
        <f t="shared" si="1"/>
        <v>#N/A</v>
      </c>
      <c r="K4" s="3" t="str">
        <f t="shared" si="2"/>
        <v>#N/A</v>
      </c>
      <c r="L4" s="3" t="str">
        <f t="shared" si="3"/>
        <v>#N/A</v>
      </c>
      <c r="M4" s="3" t="str">
        <f t="shared" si="4"/>
        <v>#N/A</v>
      </c>
      <c r="N4" s="3" t="str">
        <f t="shared" si="5"/>
        <v>#N/A</v>
      </c>
      <c r="O4" s="3" t="str">
        <f t="shared" si="6"/>
        <v>#N/A</v>
      </c>
      <c r="P4" s="3" t="str">
        <f t="shared" si="7"/>
        <v>#N/A</v>
      </c>
      <c r="Q4" s="3" t="str">
        <f t="shared" si="8"/>
        <v>#N/A</v>
      </c>
      <c r="R4" s="3" t="str">
        <f t="shared" si="9"/>
        <v>#N/A</v>
      </c>
    </row>
    <row r="5">
      <c r="A5" s="3" t="str">
        <f>'00_Active_Grid'!A5</f>
        <v>XAU</v>
      </c>
      <c r="B5" s="3" t="str">
        <f>'00_Active_Grid'!B5</f>
        <v>15m</v>
      </c>
      <c r="C5" s="3" t="str">
        <f>Shared_Inputs!C5</f>
        <v>#N/A</v>
      </c>
      <c r="D5" s="3" t="str">
        <f>Shared_Inputs!D5</f>
        <v>#N/A</v>
      </c>
      <c r="E5" s="3" t="str">
        <f>Shared_Inputs!E5</f>
        <v/>
      </c>
      <c r="F5" s="3" t="str">
        <f>Shared_Inputs!G5</f>
        <v/>
      </c>
      <c r="G5" s="3" t="str">
        <f>Shared_Inputs!H5</f>
        <v>#N/A</v>
      </c>
      <c r="H5" s="3" t="str">
        <f>Shared_Inputs!I5</f>
        <v>#N/A</v>
      </c>
      <c r="I5" s="3" t="str">
        <f>Shared_Inputs!J5</f>
        <v/>
      </c>
      <c r="J5" s="3" t="str">
        <f t="shared" si="1"/>
        <v>#N/A</v>
      </c>
      <c r="K5" s="3" t="str">
        <f t="shared" si="2"/>
        <v>#N/A</v>
      </c>
      <c r="L5" s="3" t="str">
        <f t="shared" si="3"/>
        <v>#N/A</v>
      </c>
      <c r="M5" s="3" t="str">
        <f t="shared" si="4"/>
        <v>#N/A</v>
      </c>
      <c r="N5" s="3" t="str">
        <f t="shared" si="5"/>
        <v>#N/A</v>
      </c>
      <c r="O5" s="3" t="str">
        <f t="shared" si="6"/>
        <v>#N/A</v>
      </c>
      <c r="P5" s="3" t="str">
        <f t="shared" si="7"/>
        <v>#N/A</v>
      </c>
      <c r="Q5" s="3" t="str">
        <f t="shared" si="8"/>
        <v>#N/A</v>
      </c>
      <c r="R5" s="3" t="str">
        <f t="shared" si="9"/>
        <v>#N/A</v>
      </c>
    </row>
    <row r="6">
      <c r="A6" s="3" t="str">
        <f>'00_Active_Grid'!A6</f>
        <v>SPX</v>
      </c>
      <c r="B6" s="3" t="str">
        <f>'00_Active_Grid'!B6</f>
        <v>15m</v>
      </c>
      <c r="C6" s="3" t="str">
        <f>Shared_Inputs!C6</f>
        <v>#N/A</v>
      </c>
      <c r="D6" s="3" t="str">
        <f>Shared_Inputs!D6</f>
        <v>#N/A</v>
      </c>
      <c r="E6" s="3" t="str">
        <f>Shared_Inputs!E6</f>
        <v/>
      </c>
      <c r="F6" s="3" t="str">
        <f>Shared_Inputs!G6</f>
        <v/>
      </c>
      <c r="G6" s="3" t="str">
        <f>Shared_Inputs!H6</f>
        <v>#N/A</v>
      </c>
      <c r="H6" s="3" t="str">
        <f>Shared_Inputs!I6</f>
        <v>#N/A</v>
      </c>
      <c r="I6" s="3" t="str">
        <f>Shared_Inputs!J6</f>
        <v/>
      </c>
      <c r="J6" s="3" t="str">
        <f t="shared" si="1"/>
        <v>#N/A</v>
      </c>
      <c r="K6" s="3" t="str">
        <f t="shared" si="2"/>
        <v>#N/A</v>
      </c>
      <c r="L6" s="3" t="str">
        <f t="shared" si="3"/>
        <v>#N/A</v>
      </c>
      <c r="M6" s="3" t="str">
        <f t="shared" si="4"/>
        <v>#N/A</v>
      </c>
      <c r="N6" s="3" t="str">
        <f t="shared" si="5"/>
        <v>#N/A</v>
      </c>
      <c r="O6" s="3" t="str">
        <f t="shared" si="6"/>
        <v>#N/A</v>
      </c>
      <c r="P6" s="3" t="str">
        <f t="shared" si="7"/>
        <v>#N/A</v>
      </c>
      <c r="Q6" s="3" t="str">
        <f t="shared" si="8"/>
        <v>#N/A</v>
      </c>
      <c r="R6" s="3" t="str">
        <f t="shared" si="9"/>
        <v>#N/A</v>
      </c>
    </row>
    <row r="7">
      <c r="A7" s="3" t="str">
        <f>'00_Active_Grid'!A7</f>
        <v/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tr">
        <f>'00_Active_Grid'!A2</f>
        <v>BTC</v>
      </c>
      <c r="B1" s="3" t="str">
        <f>'00_Active_Grid'!B2</f>
        <v>15m</v>
      </c>
      <c r="C1" s="3" t="str">
        <f>'01_SSP_Structure_L0'!Q2</f>
        <v>NEUTRAL</v>
      </c>
      <c r="D1" s="3">
        <f>'01_SSP_Structure_L0'!R2</f>
        <v>0</v>
      </c>
      <c r="E1" s="3">
        <f>Shared_Inputs!C2</f>
        <v>89405.64</v>
      </c>
      <c r="F1" s="3">
        <f>Shared_Inputs!D2</f>
        <v>89432.69</v>
      </c>
      <c r="G1" s="3" t="str">
        <f>Shared_Inputs!H2</f>
        <v>UP</v>
      </c>
      <c r="H1" s="3">
        <f t="shared" ref="H1:H5" si="1">IF(E1="","", (E1-F1)/F1 )</f>
        <v>-0.0003024621087</v>
      </c>
      <c r="I1" s="3">
        <f t="shared" ref="I1:I5" si="2">IF(C1="NEUTRAL",0,
   IF(AND(C1="LONG",H1&gt;0),2,
      IF(AND(C1="SHORT",H1&lt;0),2,0)
   )
)</f>
        <v>0</v>
      </c>
      <c r="J1" s="3">
        <f t="shared" ref="J1:J5" si="3">IFERROR(
  IF(OR(G1="",G1=0),0,
    IF(ABS(E1-F1)&gt;=2*G1,3,
      IF(ABS(E1-F1)&gt;=1*G1,2,
        IF(ABS(E1-F1)&gt;=0.5*G1,1,0)
      )
    )
  ),
0)</f>
        <v>0</v>
      </c>
      <c r="K1" s="3">
        <f>IF(OR(Shared_Inputs!J2=1,Shared_Inputs!J2=2),1,0)</f>
        <v>0</v>
      </c>
      <c r="L1" s="3">
        <f>IF(Shared_Inputs!M2=TRUE,2,0)
</f>
        <v>0</v>
      </c>
      <c r="M1" s="3">
        <f t="shared" ref="M1:M5" si="4">IF(AND(I1=2,D1&lt;=1),2,
   IF(AND(I1=0,D1&gt;=2),1,0)
)</f>
        <v>0</v>
      </c>
      <c r="N1" s="3">
        <f t="shared" ref="N1:N5" si="5">IFERROR(
  MIN(3,
    (J1&gt;=2) +
    (I1=2) +
    (K1=1) +
    (L1&gt;=2) -
    (M1&gt;=2)
  ),
0)</f>
        <v>0</v>
      </c>
      <c r="O1" s="1" t="s">
        <v>44</v>
      </c>
    </row>
    <row r="2">
      <c r="A2" s="3" t="str">
        <f>'00_Active_Grid'!A3</f>
        <v>ETH</v>
      </c>
      <c r="B2" s="3" t="str">
        <f>'00_Active_Grid'!B3</f>
        <v>15m</v>
      </c>
      <c r="C2" s="3" t="str">
        <f>'01_SSP_Structure_L0'!Q3</f>
        <v>NEUTRAL</v>
      </c>
      <c r="D2" s="3">
        <f>'01_SSP_Structure_L0'!R3</f>
        <v>0</v>
      </c>
      <c r="E2" s="3">
        <f>Shared_Inputs!C3</f>
        <v>89405.64</v>
      </c>
      <c r="F2" s="3">
        <f>Shared_Inputs!D3</f>
        <v>89432.69</v>
      </c>
      <c r="G2" s="3" t="str">
        <f>Shared_Inputs!H3</f>
        <v>UP</v>
      </c>
      <c r="H2" s="3">
        <f t="shared" si="1"/>
        <v>-0.0003024621087</v>
      </c>
      <c r="I2" s="3">
        <f t="shared" si="2"/>
        <v>0</v>
      </c>
      <c r="J2" s="3">
        <f t="shared" si="3"/>
        <v>0</v>
      </c>
      <c r="K2" s="3">
        <f>IF(OR(Shared_Inputs!J3=1,Shared_Inputs!J3=2),1,0)</f>
        <v>0</v>
      </c>
      <c r="L2" s="3">
        <f>IF(Shared_Inputs!N3=TRUE,2,0)</f>
        <v>0</v>
      </c>
      <c r="M2" s="3">
        <f t="shared" si="4"/>
        <v>0</v>
      </c>
      <c r="N2" s="3">
        <f t="shared" si="5"/>
        <v>0</v>
      </c>
      <c r="O2" s="1" t="s">
        <v>54</v>
      </c>
    </row>
    <row r="3">
      <c r="A3" s="3" t="str">
        <f>'00_Active_Grid'!A4</f>
        <v>XRP</v>
      </c>
      <c r="B3" s="3" t="str">
        <f>'00_Active_Grid'!B4</f>
        <v>15m</v>
      </c>
      <c r="C3" s="3" t="str">
        <f>'01_SSP_Structure_L0'!Q4</f>
        <v>#N/A</v>
      </c>
      <c r="D3" s="3" t="str">
        <f>'01_SSP_Structure_L0'!R4</f>
        <v>#N/A</v>
      </c>
      <c r="E3" s="3" t="str">
        <f>Shared_Inputs!C4</f>
        <v>#N/A</v>
      </c>
      <c r="F3" s="3" t="str">
        <f>Shared_Inputs!D4</f>
        <v>#N/A</v>
      </c>
      <c r="G3" s="3" t="str">
        <f>Shared_Inputs!H4</f>
        <v>#N/A</v>
      </c>
      <c r="H3" s="3" t="str">
        <f t="shared" si="1"/>
        <v>#N/A</v>
      </c>
      <c r="I3" s="3" t="str">
        <f t="shared" si="2"/>
        <v>#N/A</v>
      </c>
      <c r="J3" s="3">
        <f t="shared" si="3"/>
        <v>0</v>
      </c>
      <c r="K3" s="3">
        <f>IF(OR(Shared_Inputs!J4=1,Shared_Inputs!J4=2),1,0)</f>
        <v>0</v>
      </c>
      <c r="L3" s="3">
        <f>IF(Shared_Inputs!N4=TRUE,2,0)</f>
        <v>0</v>
      </c>
      <c r="M3" s="3" t="str">
        <f t="shared" si="4"/>
        <v>#N/A</v>
      </c>
      <c r="N3" s="3">
        <f t="shared" si="5"/>
        <v>0</v>
      </c>
    </row>
    <row r="4">
      <c r="A4" s="3" t="str">
        <f>'00_Active_Grid'!A5</f>
        <v>XAU</v>
      </c>
      <c r="B4" s="3" t="str">
        <f>'00_Active_Grid'!B5</f>
        <v>15m</v>
      </c>
      <c r="C4" s="3" t="str">
        <f>'01_SSP_Structure_L0'!Q5</f>
        <v>#N/A</v>
      </c>
      <c r="D4" s="3" t="str">
        <f>'01_SSP_Structure_L0'!R5</f>
        <v>#N/A</v>
      </c>
      <c r="E4" s="3" t="str">
        <f>Shared_Inputs!C5</f>
        <v>#N/A</v>
      </c>
      <c r="F4" s="3" t="str">
        <f>Shared_Inputs!D5</f>
        <v>#N/A</v>
      </c>
      <c r="G4" s="3" t="str">
        <f>Shared_Inputs!H5</f>
        <v>#N/A</v>
      </c>
      <c r="H4" s="3" t="str">
        <f t="shared" si="1"/>
        <v>#N/A</v>
      </c>
      <c r="I4" s="3" t="str">
        <f t="shared" si="2"/>
        <v>#N/A</v>
      </c>
      <c r="J4" s="3">
        <f t="shared" si="3"/>
        <v>0</v>
      </c>
      <c r="K4" s="3">
        <f>IF(OR(Shared_Inputs!J5=1,Shared_Inputs!J5=2),1,0)</f>
        <v>0</v>
      </c>
      <c r="L4" s="3">
        <f>IF(Shared_Inputs!N5=TRUE,2,0)</f>
        <v>0</v>
      </c>
      <c r="M4" s="3" t="str">
        <f t="shared" si="4"/>
        <v>#N/A</v>
      </c>
      <c r="N4" s="3">
        <f t="shared" si="5"/>
        <v>0</v>
      </c>
    </row>
    <row r="5">
      <c r="A5" s="3" t="str">
        <f>'00_Active_Grid'!A6</f>
        <v>SPX</v>
      </c>
      <c r="B5" s="3" t="str">
        <f>'00_Active_Grid'!B6</f>
        <v>15m</v>
      </c>
      <c r="C5" s="3" t="str">
        <f>'01_SSP_Structure_L0'!Q6</f>
        <v>#N/A</v>
      </c>
      <c r="D5" s="3" t="str">
        <f>'01_SSP_Structure_L0'!R6</f>
        <v>#N/A</v>
      </c>
      <c r="E5" s="3" t="str">
        <f>Shared_Inputs!C6</f>
        <v>#N/A</v>
      </c>
      <c r="F5" s="3" t="str">
        <f>Shared_Inputs!D6</f>
        <v>#N/A</v>
      </c>
      <c r="G5" s="3" t="str">
        <f>Shared_Inputs!H6</f>
        <v>#N/A</v>
      </c>
      <c r="H5" s="3" t="str">
        <f t="shared" si="1"/>
        <v>#N/A</v>
      </c>
      <c r="I5" s="3" t="str">
        <f t="shared" si="2"/>
        <v>#N/A</v>
      </c>
      <c r="J5" s="3">
        <f t="shared" si="3"/>
        <v>0</v>
      </c>
      <c r="K5" s="3">
        <f>IF(OR(Shared_Inputs!J6=1,Shared_Inputs!J6=2),1,0)</f>
        <v>0</v>
      </c>
      <c r="L5" s="3">
        <f>IF(Shared_Inputs!N6=TRUE,2,0)</f>
        <v>0</v>
      </c>
      <c r="M5" s="3" t="str">
        <f t="shared" si="4"/>
        <v>#N/A</v>
      </c>
      <c r="N5" s="3">
        <f t="shared" si="5"/>
        <v>0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26</v>
      </c>
      <c r="C1" s="1" t="s">
        <v>37</v>
      </c>
      <c r="D1" s="1" t="s">
        <v>38</v>
      </c>
      <c r="E1" s="1" t="s">
        <v>39</v>
      </c>
      <c r="F1" s="1" t="s">
        <v>40</v>
      </c>
      <c r="G1" s="1" t="s">
        <v>41</v>
      </c>
      <c r="H1" s="1" t="s">
        <v>55</v>
      </c>
      <c r="I1" s="1" t="s">
        <v>56</v>
      </c>
      <c r="J1" s="1" t="s">
        <v>57</v>
      </c>
      <c r="K1" s="1" t="s">
        <v>58</v>
      </c>
      <c r="L1" s="1" t="s">
        <v>59</v>
      </c>
    </row>
    <row r="2">
      <c r="A2" s="3" t="str">
        <f>'00_Active_Grid'!A2</f>
        <v>BTC</v>
      </c>
      <c r="B2" s="3" t="str">
        <f>'00_Active_Grid'!B2</f>
        <v>15m</v>
      </c>
      <c r="C2" s="3">
        <f>Shared_Inputs!C2</f>
        <v>89405.64</v>
      </c>
      <c r="D2" s="3">
        <f>Shared_Inputs!D2</f>
        <v>89432.69</v>
      </c>
      <c r="E2" s="3">
        <f>Shared_Inputs!E2</f>
        <v>90042.54</v>
      </c>
      <c r="F2" s="3">
        <f>Shared_Inputs!F2</f>
        <v>89819.24</v>
      </c>
      <c r="G2" s="3">
        <f>Shared_Inputs!G2</f>
        <v>127.02</v>
      </c>
      <c r="H2" s="3" t="b">
        <f t="shared" ref="H2:H6" si="1">IF(AND(D2&gt;E2, C2&lt;E2), TRUE, FALSE)</f>
        <v>0</v>
      </c>
      <c r="I2" s="3" t="b">
        <f t="shared" ref="I2:I6" si="2">IF(AND(D2&lt;F2, C2&gt;F2), TRUE, FALSE)</f>
        <v>0</v>
      </c>
      <c r="J2" s="3" t="str">
        <f t="shared" ref="J2:J6" si="3">IF(H2=TRUE,"BEAR_SWEEP", IF(I2=TRUE,"BULL_SWEEP","NONE"))</f>
        <v>NONE</v>
      </c>
      <c r="K2" s="3">
        <f t="shared" ref="K2:K6" si="4">IF(J2="NONE",0,
   IF(ABS(C2-D2)&gt;=2*G2,3,
      IF(ABS(C2-D2)&gt;=1*G2,2,1)
   )
)</f>
        <v>0</v>
      </c>
      <c r="L2" s="3">
        <f t="shared" ref="L2:L6" si="5">K2</f>
        <v>0</v>
      </c>
    </row>
    <row r="3">
      <c r="A3" s="3" t="str">
        <f>'00_Active_Grid'!A3</f>
        <v>ETH</v>
      </c>
      <c r="B3" s="3" t="str">
        <f>'00_Active_Grid'!B3</f>
        <v>15m</v>
      </c>
      <c r="C3" s="3">
        <f>Shared_Inputs!C3</f>
        <v>89405.64</v>
      </c>
      <c r="D3" s="3">
        <f>Shared_Inputs!D3</f>
        <v>89432.69</v>
      </c>
      <c r="E3" s="3">
        <f>Shared_Inputs!E3</f>
        <v>90042.54</v>
      </c>
      <c r="F3" s="3">
        <f>Shared_Inputs!F3</f>
        <v>89819.24</v>
      </c>
      <c r="G3" s="3">
        <f>Shared_Inputs!G3</f>
        <v>127.02</v>
      </c>
      <c r="H3" s="3" t="b">
        <f t="shared" si="1"/>
        <v>0</v>
      </c>
      <c r="I3" s="3" t="b">
        <f t="shared" si="2"/>
        <v>0</v>
      </c>
      <c r="J3" s="3" t="str">
        <f t="shared" si="3"/>
        <v>NONE</v>
      </c>
      <c r="K3" s="3">
        <f t="shared" si="4"/>
        <v>0</v>
      </c>
      <c r="L3" s="3">
        <f t="shared" si="5"/>
        <v>0</v>
      </c>
    </row>
    <row r="4">
      <c r="A4" s="3" t="str">
        <f>'00_Active_Grid'!A4</f>
        <v>XRP</v>
      </c>
      <c r="B4" s="3" t="str">
        <f>'00_Active_Grid'!B4</f>
        <v>15m</v>
      </c>
      <c r="C4" s="3" t="str">
        <f>Shared_Inputs!C4</f>
        <v>#N/A</v>
      </c>
      <c r="D4" s="3" t="str">
        <f>Shared_Inputs!D4</f>
        <v>#N/A</v>
      </c>
      <c r="E4" s="3" t="str">
        <f>Shared_Inputs!E4</f>
        <v/>
      </c>
      <c r="F4" s="3" t="str">
        <f>Shared_Inputs!F4</f>
        <v/>
      </c>
      <c r="G4" s="3" t="str">
        <f>Shared_Inputs!G4</f>
        <v/>
      </c>
      <c r="H4" s="3" t="str">
        <f t="shared" si="1"/>
        <v>#N/A</v>
      </c>
      <c r="I4" s="3" t="str">
        <f t="shared" si="2"/>
        <v>#N/A</v>
      </c>
      <c r="J4" s="3" t="str">
        <f t="shared" si="3"/>
        <v>#N/A</v>
      </c>
      <c r="K4" s="3" t="str">
        <f t="shared" si="4"/>
        <v>#N/A</v>
      </c>
      <c r="L4" s="3" t="str">
        <f t="shared" si="5"/>
        <v>#N/A</v>
      </c>
    </row>
    <row r="5">
      <c r="A5" s="3" t="str">
        <f>'00_Active_Grid'!A5</f>
        <v>XAU</v>
      </c>
      <c r="B5" s="3" t="str">
        <f>'00_Active_Grid'!B5</f>
        <v>15m</v>
      </c>
      <c r="C5" s="3" t="str">
        <f>Shared_Inputs!C5</f>
        <v>#N/A</v>
      </c>
      <c r="D5" s="3" t="str">
        <f>Shared_Inputs!D5</f>
        <v>#N/A</v>
      </c>
      <c r="E5" s="3" t="str">
        <f>Shared_Inputs!E5</f>
        <v/>
      </c>
      <c r="F5" s="3" t="str">
        <f>Shared_Inputs!F5</f>
        <v/>
      </c>
      <c r="G5" s="3" t="str">
        <f>Shared_Inputs!G5</f>
        <v/>
      </c>
      <c r="H5" s="3" t="str">
        <f t="shared" si="1"/>
        <v>#N/A</v>
      </c>
      <c r="I5" s="3" t="str">
        <f t="shared" si="2"/>
        <v>#N/A</v>
      </c>
      <c r="J5" s="3" t="str">
        <f t="shared" si="3"/>
        <v>#N/A</v>
      </c>
      <c r="K5" s="3" t="str">
        <f t="shared" si="4"/>
        <v>#N/A</v>
      </c>
      <c r="L5" s="3" t="str">
        <f t="shared" si="5"/>
        <v>#N/A</v>
      </c>
    </row>
    <row r="6">
      <c r="A6" s="3" t="str">
        <f>'00_Active_Grid'!A6</f>
        <v>SPX</v>
      </c>
      <c r="B6" s="3" t="str">
        <f>'00_Active_Grid'!B6</f>
        <v>15m</v>
      </c>
      <c r="C6" s="3" t="str">
        <f>Shared_Inputs!C6</f>
        <v>#N/A</v>
      </c>
      <c r="D6" s="3" t="str">
        <f>Shared_Inputs!D6</f>
        <v>#N/A</v>
      </c>
      <c r="E6" s="3" t="str">
        <f>Shared_Inputs!E6</f>
        <v/>
      </c>
      <c r="F6" s="3" t="str">
        <f>Shared_Inputs!F6</f>
        <v/>
      </c>
      <c r="G6" s="3" t="str">
        <f>Shared_Inputs!G6</f>
        <v/>
      </c>
      <c r="H6" s="3" t="str">
        <f t="shared" si="1"/>
        <v>#N/A</v>
      </c>
      <c r="I6" s="3" t="str">
        <f t="shared" si="2"/>
        <v>#N/A</v>
      </c>
      <c r="J6" s="3" t="str">
        <f t="shared" si="3"/>
        <v>#N/A</v>
      </c>
      <c r="K6" s="3" t="str">
        <f t="shared" si="4"/>
        <v>#N/A</v>
      </c>
      <c r="L6" s="3" t="str">
        <f t="shared" si="5"/>
        <v>#N/A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26</v>
      </c>
      <c r="C1" s="1" t="s">
        <v>41</v>
      </c>
      <c r="D1" s="1" t="s">
        <v>43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44</v>
      </c>
    </row>
    <row r="2">
      <c r="A2" s="3" t="str">
        <f>'00_Active_Grid'!A2</f>
        <v>BTC</v>
      </c>
      <c r="B2" s="3" t="str">
        <f>'00_Active_Grid'!B2</f>
        <v>15m</v>
      </c>
      <c r="C2" s="3">
        <f>Shared_Inputs!G2</f>
        <v>127.02</v>
      </c>
      <c r="D2" s="3">
        <f>Shared_Inputs!I2</f>
        <v>0</v>
      </c>
      <c r="E2" s="3" t="b">
        <f>Shared_Inputs!M2</f>
        <v>0</v>
      </c>
      <c r="F2" s="3">
        <f t="shared" ref="F2:F6" si="1">IF(D2=1,3, IF(D2=2,2, IF(D2=0,1,0)))</f>
        <v>1</v>
      </c>
      <c r="G2" s="3">
        <f>IF('03_Liquidity_Sweep_Engine_L2'!L2&gt;=2,2,
   IF('03_Liquidity_Sweep_Engine_L2'!L2=1,1,0)
)</f>
        <v>0</v>
      </c>
      <c r="H2" s="3">
        <f t="shared" ref="H2:H6" si="2">IF(E2=TRUE,3,0)</f>
        <v>0</v>
      </c>
      <c r="I2" s="3">
        <f t="shared" ref="I2:I6" si="3">MIN(3,
   (F2&gt;=2) + (G2&gt;=1) + (H2&gt;=2)
)</f>
        <v>0</v>
      </c>
    </row>
    <row r="3">
      <c r="A3" s="3" t="str">
        <f>'00_Active_Grid'!A3</f>
        <v>ETH</v>
      </c>
      <c r="B3" s="3" t="str">
        <f>'00_Active_Grid'!B3</f>
        <v>15m</v>
      </c>
      <c r="C3" s="3">
        <f>Shared_Inputs!G3</f>
        <v>127.02</v>
      </c>
      <c r="D3" s="3">
        <f>Shared_Inputs!I3</f>
        <v>0</v>
      </c>
      <c r="E3" s="3" t="b">
        <f>Shared_Inputs!M3</f>
        <v>0</v>
      </c>
      <c r="F3" s="3">
        <f t="shared" si="1"/>
        <v>1</v>
      </c>
      <c r="G3" s="3">
        <f>IF('03_Liquidity_Sweep_Engine_L2'!L3&gt;=2,2,
   IF('03_Liquidity_Sweep_Engine_L2'!L3=1,1,0)
)</f>
        <v>0</v>
      </c>
      <c r="H3" s="3">
        <f t="shared" si="2"/>
        <v>0</v>
      </c>
      <c r="I3" s="3">
        <f t="shared" si="3"/>
        <v>0</v>
      </c>
    </row>
    <row r="4">
      <c r="A4" s="3" t="str">
        <f>'00_Active_Grid'!A4</f>
        <v>XRP</v>
      </c>
      <c r="B4" s="3" t="str">
        <f>'00_Active_Grid'!B4</f>
        <v>15m</v>
      </c>
      <c r="C4" s="3" t="str">
        <f>Shared_Inputs!G4</f>
        <v/>
      </c>
      <c r="D4" s="3" t="str">
        <f>Shared_Inputs!I4</f>
        <v>#N/A</v>
      </c>
      <c r="E4" s="3" t="b">
        <f>Shared_Inputs!M4</f>
        <v>0</v>
      </c>
      <c r="F4" s="3" t="str">
        <f t="shared" si="1"/>
        <v>#N/A</v>
      </c>
      <c r="G4" s="3" t="str">
        <f>IF('03_Liquidity_Sweep_Engine_L2'!L4&gt;=2,2,
   IF('03_Liquidity_Sweep_Engine_L2'!L4=1,1,0)
)</f>
        <v>#N/A</v>
      </c>
      <c r="H4" s="3">
        <f t="shared" si="2"/>
        <v>0</v>
      </c>
      <c r="I4" s="3" t="str">
        <f t="shared" si="3"/>
        <v>#N/A</v>
      </c>
    </row>
    <row r="5">
      <c r="A5" s="3" t="str">
        <f>'00_Active_Grid'!A5</f>
        <v>XAU</v>
      </c>
      <c r="B5" s="3" t="str">
        <f>'00_Active_Grid'!B5</f>
        <v>15m</v>
      </c>
      <c r="C5" s="3" t="str">
        <f>Shared_Inputs!G5</f>
        <v/>
      </c>
      <c r="D5" s="3" t="str">
        <f>Shared_Inputs!I5</f>
        <v>#N/A</v>
      </c>
      <c r="E5" s="3" t="b">
        <f>Shared_Inputs!M5</f>
        <v>0</v>
      </c>
      <c r="F5" s="3" t="str">
        <f t="shared" si="1"/>
        <v>#N/A</v>
      </c>
      <c r="G5" s="3" t="str">
        <f>IF('03_Liquidity_Sweep_Engine_L2'!L5&gt;=2,2,
   IF('03_Liquidity_Sweep_Engine_L2'!L5=1,1,0)
)</f>
        <v>#N/A</v>
      </c>
      <c r="H5" s="3">
        <f t="shared" si="2"/>
        <v>0</v>
      </c>
      <c r="I5" s="3" t="str">
        <f t="shared" si="3"/>
        <v>#N/A</v>
      </c>
    </row>
    <row r="6">
      <c r="A6" s="3" t="str">
        <f>'00_Active_Grid'!A6</f>
        <v>SPX</v>
      </c>
      <c r="B6" s="3" t="str">
        <f>'00_Active_Grid'!B6</f>
        <v>15m</v>
      </c>
      <c r="C6" s="3" t="str">
        <f>Shared_Inputs!G6</f>
        <v/>
      </c>
      <c r="D6" s="3" t="str">
        <f>Shared_Inputs!I6</f>
        <v>#N/A</v>
      </c>
      <c r="E6" s="3" t="b">
        <f>Shared_Inputs!M6</f>
        <v>0</v>
      </c>
      <c r="F6" s="3" t="str">
        <f t="shared" si="1"/>
        <v>#N/A</v>
      </c>
      <c r="G6" s="3" t="str">
        <f>IF('03_Liquidity_Sweep_Engine_L2'!L6&gt;=2,2,
   IF('03_Liquidity_Sweep_Engine_L2'!L6=1,1,0)
)</f>
        <v>#N/A</v>
      </c>
      <c r="H6" s="3">
        <f t="shared" si="2"/>
        <v>0</v>
      </c>
      <c r="I6" s="3" t="str">
        <f t="shared" si="3"/>
        <v>#N/A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26</v>
      </c>
      <c r="C1" s="1" t="s">
        <v>65</v>
      </c>
      <c r="D1" s="1" t="s">
        <v>66</v>
      </c>
      <c r="E1" s="1" t="s">
        <v>67</v>
      </c>
      <c r="F1" s="1" t="s">
        <v>68</v>
      </c>
      <c r="G1" s="1" t="s">
        <v>69</v>
      </c>
    </row>
    <row r="2">
      <c r="A2" s="3" t="str">
        <f>'00_Active_Grid'!A2</f>
        <v>BTC</v>
      </c>
      <c r="B2" s="3" t="str">
        <f>'00_Active_Grid'!B2</f>
        <v>15m</v>
      </c>
      <c r="C2" s="3"/>
      <c r="D2" s="3">
        <f t="shared" ref="D2:D6" si="1">IF(C2="RISK_ON",3,
   IF(C2="RISK_OFF_SOFT",2,
      IF(C2="RISK_OFF_STRONG",1,
         IF(C2="PANIC",0,0)
      )
   )
)
</f>
        <v>0</v>
      </c>
      <c r="E2" s="3" t="b">
        <f t="shared" ref="E2:E6" si="2">IF(C2="PANIC",TRUE,FALSE)
</f>
        <v>0</v>
      </c>
      <c r="F2" s="1" t="b">
        <v>0</v>
      </c>
    </row>
    <row r="3">
      <c r="A3" s="3" t="str">
        <f>'00_Active_Grid'!A3</f>
        <v>ETH</v>
      </c>
      <c r="B3" s="3" t="str">
        <f>'00_Active_Grid'!B3</f>
        <v>15m</v>
      </c>
      <c r="C3" s="3"/>
      <c r="D3" s="3">
        <f t="shared" si="1"/>
        <v>0</v>
      </c>
      <c r="E3" s="3" t="b">
        <f t="shared" si="2"/>
        <v>0</v>
      </c>
      <c r="F3" s="1" t="b">
        <v>0</v>
      </c>
    </row>
    <row r="4">
      <c r="A4" s="3" t="str">
        <f>'00_Active_Grid'!A4</f>
        <v>XRP</v>
      </c>
      <c r="B4" s="3" t="str">
        <f>'00_Active_Grid'!B4</f>
        <v>15m</v>
      </c>
      <c r="C4" s="3"/>
      <c r="D4" s="3">
        <f t="shared" si="1"/>
        <v>0</v>
      </c>
      <c r="E4" s="3" t="b">
        <f t="shared" si="2"/>
        <v>0</v>
      </c>
      <c r="F4" s="1" t="b">
        <v>0</v>
      </c>
    </row>
    <row r="5">
      <c r="A5" s="3" t="str">
        <f>'00_Active_Grid'!A5</f>
        <v>XAU</v>
      </c>
      <c r="B5" s="3" t="str">
        <f>'00_Active_Grid'!B5</f>
        <v>15m</v>
      </c>
      <c r="C5" s="3"/>
      <c r="D5" s="3">
        <f t="shared" si="1"/>
        <v>0</v>
      </c>
      <c r="E5" s="3" t="b">
        <f t="shared" si="2"/>
        <v>0</v>
      </c>
      <c r="F5" s="1" t="b">
        <v>0</v>
      </c>
    </row>
    <row r="6">
      <c r="A6" s="3" t="str">
        <f>'00_Active_Grid'!A6</f>
        <v>SPX</v>
      </c>
      <c r="B6" s="3" t="str">
        <f>'00_Active_Grid'!B6</f>
        <v>15m</v>
      </c>
      <c r="C6" s="3"/>
      <c r="D6" s="3">
        <f t="shared" si="1"/>
        <v>0</v>
      </c>
      <c r="E6" s="3" t="b">
        <f t="shared" si="2"/>
        <v>0</v>
      </c>
      <c r="F6" s="1" t="b">
        <v>0</v>
      </c>
    </row>
  </sheetData>
  <dataValidations>
    <dataValidation type="list" allowBlank="1" showErrorMessage="1" sqref="C2:C6">
      <formula1>"RISK_ON,RISK_OFF_SOFT,RISK_OFF_STRONG,PANIC"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26</v>
      </c>
      <c r="C1" s="1" t="s">
        <v>70</v>
      </c>
      <c r="D1" s="1" t="s">
        <v>71</v>
      </c>
      <c r="E1" s="1" t="s">
        <v>59</v>
      </c>
      <c r="F1" s="1" t="s">
        <v>72</v>
      </c>
      <c r="G1" s="1" t="s">
        <v>66</v>
      </c>
      <c r="H1" s="1" t="s">
        <v>73</v>
      </c>
      <c r="I1" s="1" t="s">
        <v>74</v>
      </c>
      <c r="J1" s="1" t="s">
        <v>75</v>
      </c>
      <c r="K1" s="1" t="s">
        <v>44</v>
      </c>
    </row>
    <row r="2">
      <c r="A2" s="3" t="str">
        <f>'00_Active_Grid'!A2</f>
        <v>BTC</v>
      </c>
      <c r="B2" s="3" t="str">
        <f>'00_Active_Grid'!B2</f>
        <v>15m</v>
      </c>
      <c r="C2" s="3">
        <f>'01_SSP_Structure_L0'!R2</f>
        <v>0</v>
      </c>
      <c r="D2" s="3">
        <f>'02_Institutional_Pressure_L1'!N1</f>
        <v>0</v>
      </c>
      <c r="E2" s="3">
        <f>'03_Liquidity_Sweep_Engine_L2'!L2</f>
        <v>0</v>
      </c>
      <c r="F2" s="3">
        <f>'04_Liquidity_Architecture_Engin'!I2</f>
        <v>0</v>
      </c>
      <c r="G2" s="3">
        <f>'17_Macro_WhaleFlow_Narrative_Pl'!D2
</f>
        <v>0</v>
      </c>
      <c r="H2" s="3">
        <f>IF('25_Risk_Throttle_Controller_Rul'!J2=TRUE,3,0)
</f>
        <v>0</v>
      </c>
      <c r="I2" s="3">
        <f t="shared" ref="I2:I6" si="2">(C2*3) + (D2*3) + (E2*2) + (F2*2) + (G2*3) - (H2*3)</f>
        <v>0</v>
      </c>
      <c r="J2" s="3" t="str">
        <f t="shared" ref="J2:J6" si="3">IF(I2&lt;15,"ARB+YIELD_ONLY",
   IF(I2&lt;21,"LIGHT_DIRECTIONAL",
      IF(I2&lt;25,"FULL_DIRECTIONAL","FLASHLOAN_CLUSTER")
   )
)</f>
        <v>ARB+YIELD_ONLY</v>
      </c>
    </row>
    <row r="3">
      <c r="A3" s="3" t="str">
        <f>'00_Active_Grid'!A3</f>
        <v>ETH</v>
      </c>
      <c r="B3" s="3" t="str">
        <f>'00_Active_Grid'!B3</f>
        <v>15m</v>
      </c>
      <c r="C3" s="3">
        <f>'01_SSP_Structure_L0'!R3</f>
        <v>0</v>
      </c>
      <c r="D3" s="3">
        <f>'02_Institutional_Pressure_L1'!N2</f>
        <v>0</v>
      </c>
      <c r="E3" s="3">
        <f>'03_Liquidity_Sweep_Engine_L2'!L3</f>
        <v>0</v>
      </c>
      <c r="F3" s="3">
        <f>'04_Liquidity_Architecture_Engin'!I3</f>
        <v>0</v>
      </c>
      <c r="G3" s="3">
        <f t="shared" ref="G3:H3" si="1">0</f>
        <v>0</v>
      </c>
      <c r="H3" s="3">
        <f t="shared" si="1"/>
        <v>0</v>
      </c>
      <c r="I3" s="3">
        <f t="shared" si="2"/>
        <v>0</v>
      </c>
      <c r="J3" s="3" t="str">
        <f t="shared" si="3"/>
        <v>ARB+YIELD_ONLY</v>
      </c>
    </row>
    <row r="4">
      <c r="A4" s="3" t="str">
        <f>'00_Active_Grid'!A4</f>
        <v>XRP</v>
      </c>
      <c r="B4" s="3" t="str">
        <f>'00_Active_Grid'!B4</f>
        <v>15m</v>
      </c>
      <c r="C4" s="3" t="str">
        <f>'01_SSP_Structure_L0'!R4</f>
        <v>#N/A</v>
      </c>
      <c r="D4" s="3">
        <f>'02_Institutional_Pressure_L1'!N3</f>
        <v>0</v>
      </c>
      <c r="E4" s="3" t="str">
        <f>'03_Liquidity_Sweep_Engine_L2'!L4</f>
        <v>#N/A</v>
      </c>
      <c r="F4" s="3" t="str">
        <f>'04_Liquidity_Architecture_Engin'!I4</f>
        <v>#N/A</v>
      </c>
      <c r="G4" s="3">
        <f t="shared" ref="G4:H4" si="4">0</f>
        <v>0</v>
      </c>
      <c r="H4" s="3">
        <f t="shared" si="4"/>
        <v>0</v>
      </c>
      <c r="I4" s="3" t="str">
        <f t="shared" si="2"/>
        <v>#N/A</v>
      </c>
      <c r="J4" s="3" t="str">
        <f t="shared" si="3"/>
        <v>#N/A</v>
      </c>
    </row>
    <row r="5">
      <c r="A5" s="3" t="str">
        <f>'00_Active_Grid'!A5</f>
        <v>XAU</v>
      </c>
      <c r="B5" s="3" t="str">
        <f>'00_Active_Grid'!B5</f>
        <v>15m</v>
      </c>
      <c r="C5" s="3" t="str">
        <f>'01_SSP_Structure_L0'!R5</f>
        <v>#N/A</v>
      </c>
      <c r="D5" s="3">
        <f>'02_Institutional_Pressure_L1'!N4</f>
        <v>0</v>
      </c>
      <c r="E5" s="3" t="str">
        <f>'03_Liquidity_Sweep_Engine_L2'!L5</f>
        <v>#N/A</v>
      </c>
      <c r="F5" s="3" t="str">
        <f>'04_Liquidity_Architecture_Engin'!I5</f>
        <v>#N/A</v>
      </c>
      <c r="G5" s="3">
        <f t="shared" ref="G5:H5" si="5">0</f>
        <v>0</v>
      </c>
      <c r="H5" s="3">
        <f t="shared" si="5"/>
        <v>0</v>
      </c>
      <c r="I5" s="3" t="str">
        <f t="shared" si="2"/>
        <v>#N/A</v>
      </c>
      <c r="J5" s="3" t="str">
        <f t="shared" si="3"/>
        <v>#N/A</v>
      </c>
    </row>
    <row r="6">
      <c r="A6" s="3" t="str">
        <f>'00_Active_Grid'!A6</f>
        <v>SPX</v>
      </c>
      <c r="B6" s="3" t="str">
        <f>'00_Active_Grid'!B6</f>
        <v>15m</v>
      </c>
      <c r="C6" s="3" t="str">
        <f>'01_SSP_Structure_L0'!R6</f>
        <v>#N/A</v>
      </c>
      <c r="D6" s="3">
        <f>'02_Institutional_Pressure_L1'!N5</f>
        <v>0</v>
      </c>
      <c r="E6" s="3" t="str">
        <f>'03_Liquidity_Sweep_Engine_L2'!L6</f>
        <v>#N/A</v>
      </c>
      <c r="F6" s="3" t="str">
        <f>'04_Liquidity_Architecture_Engin'!I6</f>
        <v>#N/A</v>
      </c>
      <c r="G6" s="3">
        <f t="shared" ref="G6:H6" si="6">0</f>
        <v>0</v>
      </c>
      <c r="H6" s="3">
        <f t="shared" si="6"/>
        <v>0</v>
      </c>
      <c r="I6" s="3" t="str">
        <f t="shared" si="2"/>
        <v>#N/A</v>
      </c>
      <c r="J6" s="3" t="str">
        <f t="shared" si="3"/>
        <v>#N/A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26</v>
      </c>
      <c r="C1" s="1" t="s">
        <v>74</v>
      </c>
      <c r="D1" s="1" t="s">
        <v>75</v>
      </c>
      <c r="E1" s="1" t="s">
        <v>76</v>
      </c>
      <c r="F1" s="1" t="s">
        <v>77</v>
      </c>
      <c r="G1" s="1" t="s">
        <v>78</v>
      </c>
      <c r="H1" s="1" t="s">
        <v>79</v>
      </c>
      <c r="I1" s="1" t="s">
        <v>80</v>
      </c>
      <c r="J1" s="1" t="s">
        <v>81</v>
      </c>
      <c r="K1" s="1" t="s">
        <v>44</v>
      </c>
    </row>
    <row r="2">
      <c r="A2" s="3" t="str">
        <f>'00_Active_Grid'!A2</f>
        <v>BTC</v>
      </c>
      <c r="B2" s="3" t="str">
        <f>'00_Active_Grid'!B2</f>
        <v>15m</v>
      </c>
      <c r="C2" s="3">
        <f>'21_MCS_Aggregator'!I2</f>
        <v>0</v>
      </c>
      <c r="D2" s="3" t="str">
        <f>'21_MCS_Aggregator'!J2</f>
        <v>ARB+YIELD_ONLY</v>
      </c>
      <c r="E2" s="3" t="str">
        <f t="shared" ref="E2:E6" si="2">IF(OR(D2="LIGHT_DIRECTIONAL",D2="FULL_DIRECTIONAL",D2="FLASHLOAN_CLUSTER"),"ON","OFF")</f>
        <v>OFF</v>
      </c>
      <c r="F2" s="3" t="str">
        <f t="shared" ref="F2:G2" si="1">"ON"</f>
        <v>ON</v>
      </c>
      <c r="G2" s="3" t="str">
        <f t="shared" si="1"/>
        <v>ON</v>
      </c>
      <c r="H2" s="3" t="str">
        <f t="shared" ref="H2:H6" si="4">IF(D2="FLASHLOAN_CLUSTER","ON","OFF")</f>
        <v>OFF</v>
      </c>
      <c r="I2" s="3" t="str">
        <f t="shared" ref="I2:I6" si="5">IF(D2="ARB+YIELD_ONLY","THROTTLED",
   IF(D2="LIGHT_DIRECTIONAL","LIGHT",
      IF(D2="FULL_DIRECTIONAL","NORMAL","AGGRESSIVE")
   )
)</f>
        <v>THROTTLED</v>
      </c>
      <c r="J2" s="1" t="s">
        <v>82</v>
      </c>
    </row>
    <row r="3">
      <c r="A3" s="3" t="str">
        <f>'00_Active_Grid'!A3</f>
        <v>ETH</v>
      </c>
      <c r="B3" s="3" t="str">
        <f>'00_Active_Grid'!B3</f>
        <v>15m</v>
      </c>
      <c r="C3" s="3">
        <f>'21_MCS_Aggregator'!I3</f>
        <v>0</v>
      </c>
      <c r="D3" s="3" t="str">
        <f>'21_MCS_Aggregator'!J3</f>
        <v>ARB+YIELD_ONLY</v>
      </c>
      <c r="E3" s="3" t="str">
        <f t="shared" si="2"/>
        <v>OFF</v>
      </c>
      <c r="F3" s="3" t="str">
        <f t="shared" ref="F3:G3" si="3">"ON"</f>
        <v>ON</v>
      </c>
      <c r="G3" s="3" t="str">
        <f t="shared" si="3"/>
        <v>ON</v>
      </c>
      <c r="H3" s="3" t="str">
        <f t="shared" si="4"/>
        <v>OFF</v>
      </c>
      <c r="I3" s="3" t="str">
        <f t="shared" si="5"/>
        <v>THROTTLED</v>
      </c>
      <c r="J3" s="1" t="s">
        <v>82</v>
      </c>
    </row>
    <row r="4">
      <c r="A4" s="3" t="str">
        <f>'00_Active_Grid'!A4</f>
        <v>XRP</v>
      </c>
      <c r="B4" s="3" t="str">
        <f>'00_Active_Grid'!B4</f>
        <v>15m</v>
      </c>
      <c r="C4" s="3" t="str">
        <f>'21_MCS_Aggregator'!I4</f>
        <v>#N/A</v>
      </c>
      <c r="D4" s="3" t="str">
        <f>'21_MCS_Aggregator'!J4</f>
        <v>#N/A</v>
      </c>
      <c r="E4" s="3" t="str">
        <f t="shared" si="2"/>
        <v>#N/A</v>
      </c>
      <c r="F4" s="3" t="str">
        <f t="shared" ref="F4:G4" si="6">"ON"</f>
        <v>ON</v>
      </c>
      <c r="G4" s="3" t="str">
        <f t="shared" si="6"/>
        <v>ON</v>
      </c>
      <c r="H4" s="3" t="str">
        <f t="shared" si="4"/>
        <v>#N/A</v>
      </c>
      <c r="I4" s="3" t="str">
        <f t="shared" si="5"/>
        <v>#N/A</v>
      </c>
      <c r="J4" s="1" t="s">
        <v>82</v>
      </c>
    </row>
    <row r="5">
      <c r="A5" s="3" t="str">
        <f>'00_Active_Grid'!A5</f>
        <v>XAU</v>
      </c>
      <c r="B5" s="3" t="str">
        <f>'00_Active_Grid'!B5</f>
        <v>15m</v>
      </c>
      <c r="C5" s="3" t="str">
        <f>'21_MCS_Aggregator'!I5</f>
        <v>#N/A</v>
      </c>
      <c r="D5" s="3" t="str">
        <f>'21_MCS_Aggregator'!J5</f>
        <v>#N/A</v>
      </c>
      <c r="E5" s="3" t="str">
        <f t="shared" si="2"/>
        <v>#N/A</v>
      </c>
      <c r="F5" s="3" t="str">
        <f t="shared" ref="F5:G5" si="7">"ON"</f>
        <v>ON</v>
      </c>
      <c r="G5" s="3" t="str">
        <f t="shared" si="7"/>
        <v>ON</v>
      </c>
      <c r="H5" s="3" t="str">
        <f t="shared" si="4"/>
        <v>#N/A</v>
      </c>
      <c r="I5" s="3" t="str">
        <f t="shared" si="5"/>
        <v>#N/A</v>
      </c>
      <c r="J5" s="1" t="s">
        <v>82</v>
      </c>
    </row>
    <row r="6">
      <c r="A6" s="3" t="str">
        <f>'00_Active_Grid'!A6</f>
        <v>SPX</v>
      </c>
      <c r="B6" s="3" t="str">
        <f>'00_Active_Grid'!B6</f>
        <v>15m</v>
      </c>
      <c r="C6" s="3" t="str">
        <f>'21_MCS_Aggregator'!I6</f>
        <v>#N/A</v>
      </c>
      <c r="D6" s="3" t="str">
        <f>'21_MCS_Aggregator'!J6</f>
        <v>#N/A</v>
      </c>
      <c r="E6" s="3" t="str">
        <f t="shared" si="2"/>
        <v>#N/A</v>
      </c>
      <c r="F6" s="3" t="str">
        <f t="shared" ref="F6:G6" si="8">"ON"</f>
        <v>ON</v>
      </c>
      <c r="G6" s="3" t="str">
        <f t="shared" si="8"/>
        <v>ON</v>
      </c>
      <c r="H6" s="3" t="str">
        <f t="shared" si="4"/>
        <v>#N/A</v>
      </c>
      <c r="I6" s="3" t="str">
        <f t="shared" si="5"/>
        <v>#N/A</v>
      </c>
      <c r="J6" s="1" t="s">
        <v>82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83</v>
      </c>
      <c r="B1" s="1" t="s">
        <v>84</v>
      </c>
      <c r="C1" s="1" t="s">
        <v>85</v>
      </c>
      <c r="D1" s="1" t="s">
        <v>86</v>
      </c>
      <c r="E1" s="1" t="s">
        <v>87</v>
      </c>
      <c r="F1" s="1" t="s">
        <v>88</v>
      </c>
      <c r="G1" s="1" t="s">
        <v>89</v>
      </c>
      <c r="H1" s="1" t="s">
        <v>90</v>
      </c>
      <c r="I1" s="1" t="s">
        <v>91</v>
      </c>
      <c r="J1" s="1" t="s">
        <v>44</v>
      </c>
    </row>
    <row r="2">
      <c r="A2" s="1">
        <v>1000.0</v>
      </c>
      <c r="B2" s="4">
        <v>0.005</v>
      </c>
      <c r="C2" s="3">
        <f t="shared" ref="C2:C7" si="1"> A2 * B2 * 7</f>
        <v>35</v>
      </c>
      <c r="D2" s="1">
        <v>25.0</v>
      </c>
      <c r="E2" s="5">
        <v>0.2</v>
      </c>
      <c r="F2" s="5">
        <v>0.8</v>
      </c>
      <c r="G2" s="3" t="b">
        <f t="shared" ref="G2:G7" si="2">IF(C2&gt;=D2,TRUE,FALSE)</f>
        <v>1</v>
      </c>
      <c r="H2" s="3" t="str">
        <f t="shared" ref="H2:H7" si="3">IF(G2=TRUE,"THROTTLE","NORMAL")</f>
        <v>THROTTLE</v>
      </c>
      <c r="I2" s="3" t="str">
        <f t="shared" ref="I2:I7" si="4">IF(G2=TRUE,"CONDITIONAL","YES")</f>
        <v>CONDITIONAL</v>
      </c>
    </row>
    <row r="3">
      <c r="A3" s="1">
        <v>2500.0</v>
      </c>
      <c r="B3" s="4">
        <v>0.005</v>
      </c>
      <c r="C3" s="3">
        <f t="shared" si="1"/>
        <v>87.5</v>
      </c>
      <c r="D3" s="1">
        <v>50.0</v>
      </c>
      <c r="E3" s="5">
        <v>0.25</v>
      </c>
      <c r="F3" s="5">
        <v>0.75</v>
      </c>
      <c r="G3" s="3" t="b">
        <f t="shared" si="2"/>
        <v>1</v>
      </c>
      <c r="H3" s="3" t="str">
        <f t="shared" si="3"/>
        <v>THROTTLE</v>
      </c>
      <c r="I3" s="3" t="str">
        <f t="shared" si="4"/>
        <v>CONDITIONAL</v>
      </c>
    </row>
    <row r="4">
      <c r="A4" s="1">
        <v>5000.0</v>
      </c>
      <c r="B4" s="4">
        <v>0.005</v>
      </c>
      <c r="C4" s="3">
        <f t="shared" si="1"/>
        <v>175</v>
      </c>
      <c r="D4" s="1">
        <v>100.0</v>
      </c>
      <c r="E4" s="5">
        <v>0.3</v>
      </c>
      <c r="F4" s="5">
        <v>0.7</v>
      </c>
      <c r="G4" s="3" t="b">
        <f t="shared" si="2"/>
        <v>1</v>
      </c>
      <c r="H4" s="3" t="str">
        <f t="shared" si="3"/>
        <v>THROTTLE</v>
      </c>
      <c r="I4" s="3" t="str">
        <f t="shared" si="4"/>
        <v>CONDITIONAL</v>
      </c>
    </row>
    <row r="5">
      <c r="A5" s="1">
        <v>10000.0</v>
      </c>
      <c r="B5" s="4">
        <v>0.005</v>
      </c>
      <c r="C5" s="3">
        <f t="shared" si="1"/>
        <v>350</v>
      </c>
      <c r="D5" s="1">
        <v>200.0</v>
      </c>
      <c r="E5" s="5">
        <v>0.35</v>
      </c>
      <c r="F5" s="5">
        <v>0.65</v>
      </c>
      <c r="G5" s="3" t="b">
        <f t="shared" si="2"/>
        <v>1</v>
      </c>
      <c r="H5" s="3" t="str">
        <f t="shared" si="3"/>
        <v>THROTTLE</v>
      </c>
      <c r="I5" s="3" t="str">
        <f t="shared" si="4"/>
        <v>CONDITIONAL</v>
      </c>
    </row>
    <row r="6">
      <c r="A6" s="1">
        <v>25000.0</v>
      </c>
      <c r="B6" s="4">
        <v>0.005</v>
      </c>
      <c r="C6" s="3">
        <f t="shared" si="1"/>
        <v>875</v>
      </c>
      <c r="D6" s="1">
        <v>400.0</v>
      </c>
      <c r="E6" s="5">
        <v>0.4</v>
      </c>
      <c r="F6" s="5">
        <v>0.6</v>
      </c>
      <c r="G6" s="3" t="b">
        <f t="shared" si="2"/>
        <v>1</v>
      </c>
      <c r="H6" s="3" t="str">
        <f t="shared" si="3"/>
        <v>THROTTLE</v>
      </c>
      <c r="I6" s="3" t="str">
        <f t="shared" si="4"/>
        <v>CONDITIONAL</v>
      </c>
    </row>
    <row r="7">
      <c r="A7" s="1">
        <v>50000.0</v>
      </c>
      <c r="B7" s="4">
        <v>0.005</v>
      </c>
      <c r="C7" s="3">
        <f t="shared" si="1"/>
        <v>1750</v>
      </c>
      <c r="D7" s="1">
        <v>800.0</v>
      </c>
      <c r="E7" s="5">
        <v>0.45</v>
      </c>
      <c r="F7" s="5">
        <v>0.55</v>
      </c>
      <c r="G7" s="3" t="b">
        <f t="shared" si="2"/>
        <v>1</v>
      </c>
      <c r="H7" s="3" t="str">
        <f t="shared" si="3"/>
        <v>THROTTLE</v>
      </c>
      <c r="I7" s="3" t="str">
        <f t="shared" si="4"/>
        <v>CONDITIONAL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92</v>
      </c>
      <c r="B1" s="1" t="s">
        <v>93</v>
      </c>
      <c r="C1" s="1" t="s">
        <v>94</v>
      </c>
      <c r="D1" s="1" t="s">
        <v>95</v>
      </c>
      <c r="E1" s="1" t="s">
        <v>96</v>
      </c>
      <c r="F1" s="1" t="s">
        <v>97</v>
      </c>
      <c r="G1" s="1" t="s">
        <v>44</v>
      </c>
    </row>
    <row r="2">
      <c r="A2" s="1" t="s">
        <v>98</v>
      </c>
      <c r="B2" s="5">
        <v>0.4</v>
      </c>
      <c r="C2" s="5">
        <v>0.25</v>
      </c>
      <c r="D2" s="5">
        <v>0.15</v>
      </c>
      <c r="E2" s="5">
        <v>0.1</v>
      </c>
      <c r="F2" s="5">
        <v>0.1</v>
      </c>
    </row>
    <row r="3">
      <c r="A3" s="1" t="s">
        <v>99</v>
      </c>
      <c r="B3" s="5">
        <v>0.25</v>
      </c>
      <c r="C3" s="5">
        <v>0.2</v>
      </c>
      <c r="D3" s="5">
        <v>0.1</v>
      </c>
      <c r="E3" s="5">
        <v>0.3</v>
      </c>
      <c r="F3" s="5">
        <v>0.15</v>
      </c>
    </row>
    <row r="4">
      <c r="A4" s="1" t="s">
        <v>100</v>
      </c>
      <c r="B4" s="5">
        <v>0.25</v>
      </c>
      <c r="C4" s="5">
        <v>0.2</v>
      </c>
      <c r="D4" s="5">
        <v>0.3</v>
      </c>
      <c r="E4" s="5">
        <v>0.1</v>
      </c>
      <c r="F4" s="5">
        <v>0.15</v>
      </c>
    </row>
    <row r="6">
      <c r="A6" s="1" t="s">
        <v>101</v>
      </c>
    </row>
    <row r="7">
      <c r="A7" s="1" t="s">
        <v>102</v>
      </c>
      <c r="B7" s="1" t="s">
        <v>103</v>
      </c>
      <c r="C7" s="1" t="s">
        <v>104</v>
      </c>
      <c r="D7" s="1" t="s">
        <v>105</v>
      </c>
      <c r="E7" s="1" t="s">
        <v>106</v>
      </c>
      <c r="F7" s="1" t="s">
        <v>107</v>
      </c>
      <c r="G7" s="1" t="s">
        <v>108</v>
      </c>
      <c r="H7" s="1" t="s">
        <v>109</v>
      </c>
    </row>
    <row r="8">
      <c r="D8" s="3" t="str">
        <f t="array" ref="D8">IF(C8="","", B8 * XLOOKUP(C8,$A$2:$A$4,$B$2:$B$4))</f>
        <v/>
      </c>
      <c r="E8" s="3" t="str">
        <f t="array" ref="E8">IF(C8="","", B8 * XLOOKUP(C8,$A$2:$A$4,$C$2:$C$4))</f>
        <v/>
      </c>
      <c r="F8" s="3" t="str">
        <f t="array" ref="F8">IF(C8="","", B8 * XLOOKUP(C8,$A$2:$A$4,$D$2:$D$4))</f>
        <v/>
      </c>
      <c r="G8" s="3" t="str">
        <f t="array" ref="G8">IF(C8="","", B8 * XLOOKUP(C8,$A$2:$A$4,$E$2:$E$4))</f>
        <v/>
      </c>
      <c r="H8" s="3" t="str">
        <f t="array" ref="H8">IF(C8="","", B8 * XLOOKUP(C8,$A$2:$A$4,$F$2:$F$4))</f>
        <v/>
      </c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26</v>
      </c>
    </row>
    <row r="2">
      <c r="A2" s="3" t="str">
        <f>IFERROR(__xludf.DUMMYFUNCTION("FILTER(Assets_MasterList!A2:A1000, Assets_MasterList!F2:F1000=TRUE)"),"BTC")</f>
        <v>BTC</v>
      </c>
      <c r="B2" s="1" t="s">
        <v>36</v>
      </c>
    </row>
    <row r="3">
      <c r="A3" s="3" t="str">
        <f>IFERROR(__xludf.DUMMYFUNCTION("""COMPUTED_VALUE"""),"ETH")</f>
        <v>ETH</v>
      </c>
      <c r="B3" s="1" t="s">
        <v>36</v>
      </c>
    </row>
    <row r="4">
      <c r="A4" s="3" t="str">
        <f>IFERROR(__xludf.DUMMYFUNCTION("""COMPUTED_VALUE"""),"XRP")</f>
        <v>XRP</v>
      </c>
      <c r="B4" s="1" t="s">
        <v>36</v>
      </c>
    </row>
    <row r="5">
      <c r="A5" s="3" t="str">
        <f>IFERROR(__xludf.DUMMYFUNCTION("""COMPUTED_VALUE"""),"XAU")</f>
        <v>XAU</v>
      </c>
      <c r="B5" s="1" t="s">
        <v>36</v>
      </c>
    </row>
    <row r="6">
      <c r="A6" s="3" t="str">
        <f>IFERROR(__xludf.DUMMYFUNCTION("""COMPUTED_VALUE"""),"SPX")</f>
        <v>SPX</v>
      </c>
      <c r="B6" s="1" t="s">
        <v>36</v>
      </c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26</v>
      </c>
      <c r="C1" s="1" t="s">
        <v>74</v>
      </c>
      <c r="D1" s="1" t="s">
        <v>75</v>
      </c>
      <c r="E1" s="1" t="s">
        <v>110</v>
      </c>
      <c r="F1" s="1" t="s">
        <v>111</v>
      </c>
      <c r="G1" s="1" t="s">
        <v>112</v>
      </c>
      <c r="H1" s="1" t="s">
        <v>113</v>
      </c>
      <c r="I1" s="1" t="s">
        <v>114</v>
      </c>
      <c r="J1" s="1" t="s">
        <v>115</v>
      </c>
    </row>
    <row r="2">
      <c r="A2" s="3" t="str">
        <f>'21_MCS_Aggregator'!A2</f>
        <v>BTC</v>
      </c>
      <c r="B2" s="3" t="str">
        <f>'21_MCS_Aggregator'!B2</f>
        <v>15m</v>
      </c>
      <c r="C2" s="3">
        <f>'21_MCS_Aggregator'!I2</f>
        <v>0</v>
      </c>
      <c r="D2" s="3" t="str">
        <f>'21_MCS_Aggregator'!J2</f>
        <v>ARB+YIELD_ONLY</v>
      </c>
      <c r="E2" s="3">
        <f>'01_SSP_Structure_L0'!R2</f>
        <v>0</v>
      </c>
      <c r="F2" s="3">
        <f>'02_Institutional_Pressure_L1'!N2</f>
        <v>0</v>
      </c>
      <c r="G2" s="3">
        <f>'03_Liquidity_Sweep_Engine_L2'!L2</f>
        <v>0</v>
      </c>
      <c r="H2" s="3">
        <f>'04_Liquidity_Architecture_Engin'!I2</f>
        <v>0</v>
      </c>
      <c r="I2" s="3" t="b">
        <f>Shared_Inputs!M2</f>
        <v>0</v>
      </c>
      <c r="J2" s="3" t="str">
        <f>'01_SSP_Structure_L0'!Q2</f>
        <v>NEUTRAL</v>
      </c>
    </row>
    <row r="3">
      <c r="A3" s="3" t="str">
        <f>'21_MCS_Aggregator'!A3</f>
        <v>ETH</v>
      </c>
      <c r="B3" s="3" t="str">
        <f>'21_MCS_Aggregator'!B3</f>
        <v>15m</v>
      </c>
      <c r="C3" s="3">
        <f>'21_MCS_Aggregator'!I3</f>
        <v>0</v>
      </c>
      <c r="D3" s="3" t="str">
        <f>'21_MCS_Aggregator'!J3</f>
        <v>ARB+YIELD_ONLY</v>
      </c>
      <c r="E3" s="3">
        <f>'01_SSP_Structure_L0'!R3</f>
        <v>0</v>
      </c>
      <c r="F3" s="3">
        <f>'02_Institutional_Pressure_L1'!N3</f>
        <v>0</v>
      </c>
      <c r="G3" s="3">
        <f>'03_Liquidity_Sweep_Engine_L2'!L3</f>
        <v>0</v>
      </c>
      <c r="H3" s="3">
        <f>'04_Liquidity_Architecture_Engin'!I3</f>
        <v>0</v>
      </c>
      <c r="I3" s="3" t="b">
        <f>Shared_Inputs!M3</f>
        <v>0</v>
      </c>
      <c r="J3" s="3" t="str">
        <f>'01_SSP_Structure_L0'!Q3</f>
        <v>NEUTRAL</v>
      </c>
    </row>
    <row r="4">
      <c r="A4" s="3" t="str">
        <f>'21_MCS_Aggregator'!A4</f>
        <v>XRP</v>
      </c>
      <c r="B4" s="3" t="str">
        <f>'21_MCS_Aggregator'!B4</f>
        <v>15m</v>
      </c>
      <c r="C4" s="3" t="str">
        <f>'21_MCS_Aggregator'!I4</f>
        <v>#N/A</v>
      </c>
      <c r="D4" s="3" t="str">
        <f>'21_MCS_Aggregator'!J4</f>
        <v>#N/A</v>
      </c>
      <c r="E4" s="3" t="str">
        <f>'01_SSP_Structure_L0'!R4</f>
        <v>#N/A</v>
      </c>
      <c r="F4" s="3">
        <f>'02_Institutional_Pressure_L1'!N4</f>
        <v>0</v>
      </c>
      <c r="G4" s="3" t="str">
        <f>'03_Liquidity_Sweep_Engine_L2'!L4</f>
        <v>#N/A</v>
      </c>
      <c r="H4" s="3" t="str">
        <f>'04_Liquidity_Architecture_Engin'!I4</f>
        <v>#N/A</v>
      </c>
      <c r="I4" s="3" t="b">
        <f>Shared_Inputs!M4</f>
        <v>0</v>
      </c>
      <c r="J4" s="3" t="str">
        <f>'01_SSP_Structure_L0'!Q4</f>
        <v>#N/A</v>
      </c>
    </row>
    <row r="5">
      <c r="A5" s="3" t="str">
        <f>'21_MCS_Aggregator'!A5</f>
        <v>XAU</v>
      </c>
      <c r="B5" s="3" t="str">
        <f>'21_MCS_Aggregator'!B5</f>
        <v>15m</v>
      </c>
      <c r="C5" s="3" t="str">
        <f>'21_MCS_Aggregator'!I5</f>
        <v>#N/A</v>
      </c>
      <c r="D5" s="3" t="str">
        <f>'21_MCS_Aggregator'!J5</f>
        <v>#N/A</v>
      </c>
      <c r="E5" s="3" t="str">
        <f>'01_SSP_Structure_L0'!R5</f>
        <v>#N/A</v>
      </c>
      <c r="F5" s="3">
        <f>'02_Institutional_Pressure_L1'!N5</f>
        <v>0</v>
      </c>
      <c r="G5" s="3" t="str">
        <f>'03_Liquidity_Sweep_Engine_L2'!L5</f>
        <v>#N/A</v>
      </c>
      <c r="H5" s="3" t="str">
        <f>'04_Liquidity_Architecture_Engin'!I5</f>
        <v>#N/A</v>
      </c>
      <c r="I5" s="3" t="b">
        <f>Shared_Inputs!M5</f>
        <v>0</v>
      </c>
      <c r="J5" s="3" t="str">
        <f>'01_SSP_Structure_L0'!Q5</f>
        <v>#N/A</v>
      </c>
    </row>
    <row r="6">
      <c r="A6" s="3" t="str">
        <f>'21_MCS_Aggregator'!A6</f>
        <v>SPX</v>
      </c>
      <c r="B6" s="3" t="str">
        <f>'21_MCS_Aggregator'!B6</f>
        <v>15m</v>
      </c>
      <c r="C6" s="3" t="str">
        <f>'21_MCS_Aggregator'!I6</f>
        <v>#N/A</v>
      </c>
      <c r="D6" s="3" t="str">
        <f>'21_MCS_Aggregator'!J6</f>
        <v>#N/A</v>
      </c>
      <c r="E6" s="3" t="str">
        <f>'01_SSP_Structure_L0'!R6</f>
        <v>#N/A</v>
      </c>
      <c r="F6" s="3" t="str">
        <f>'02_Institutional_Pressure_L1'!N6</f>
        <v/>
      </c>
      <c r="G6" s="3" t="str">
        <f>'03_Liquidity_Sweep_Engine_L2'!L6</f>
        <v>#N/A</v>
      </c>
      <c r="H6" s="3" t="str">
        <f>'04_Liquidity_Architecture_Engin'!I6</f>
        <v>#N/A</v>
      </c>
      <c r="I6" s="3" t="b">
        <f>Shared_Inputs!M6</f>
        <v>0</v>
      </c>
      <c r="J6" s="3" t="str">
        <f>'01_SSP_Structure_L0'!Q6</f>
        <v>#N/A</v>
      </c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26</v>
      </c>
      <c r="C1" s="1" t="s">
        <v>74</v>
      </c>
      <c r="D1" s="1" t="s">
        <v>75</v>
      </c>
      <c r="E1" s="1" t="s">
        <v>43</v>
      </c>
      <c r="F1" s="1" t="s">
        <v>35</v>
      </c>
      <c r="G1" s="1" t="s">
        <v>59</v>
      </c>
      <c r="H1" s="1" t="s">
        <v>71</v>
      </c>
      <c r="I1" s="1" t="s">
        <v>116</v>
      </c>
      <c r="J1" s="1" t="s">
        <v>117</v>
      </c>
      <c r="K1" s="1" t="s">
        <v>118</v>
      </c>
      <c r="L1" s="1" t="s">
        <v>119</v>
      </c>
      <c r="M1" s="1" t="s">
        <v>120</v>
      </c>
    </row>
    <row r="2">
      <c r="A2" s="3" t="str">
        <f>'21_MCS_Aggregator'!A2
</f>
        <v>BTC</v>
      </c>
      <c r="B2" s="3" t="str">
        <f>'21_MCS_Aggregator'!B2
</f>
        <v>15m</v>
      </c>
      <c r="C2" s="3">
        <f>'21_MCS_Aggregator'!I2
</f>
        <v>0</v>
      </c>
      <c r="D2" s="3" t="str">
        <f>'21_MCS_Aggregator'!J2
</f>
        <v>ARB+YIELD_ONLY</v>
      </c>
      <c r="E2" s="3">
        <f>Shared_Inputs!I2
</f>
        <v>0</v>
      </c>
      <c r="F2" s="3" t="b">
        <f>Shared_Inputs!M2
</f>
        <v>0</v>
      </c>
      <c r="G2" s="3">
        <f>'03_Liquidity_Sweep_Engine_L2'!L2
</f>
        <v>0</v>
      </c>
      <c r="H2" s="3">
        <f>'02_Institutional_Pressure_L1'!N2
</f>
        <v>0</v>
      </c>
      <c r="I2" s="1">
        <v>0.0</v>
      </c>
      <c r="J2" s="3" t="b">
        <f t="shared" ref="J2:J6" si="1">IF(OR(E2=3, I2&gt;=0.1), TRUE, FALSE)
</f>
        <v>0</v>
      </c>
      <c r="K2" s="3" t="str">
        <f t="shared" ref="K2:K6" si="2">IF(J2=TRUE,"KILL",
   IF(E2=3,"HEAVY",
      IF(E2=2,"MEDIUM",
         IF(E2=1,"LIGHT","LIGHT")
      )
   )
)
</f>
        <v>LIGHT</v>
      </c>
      <c r="L2" s="3" t="str">
        <f t="shared" ref="L2:L6" si="3">IF(K2="KILL","NONE",
   IF(K2="HEAVY","ARB+YIELD_ONLY",
      IF(K2="MEDIUM", IF(D2="FLASHLOAN_CLUSTER","FULL_DIRECTIONAL",D2),
         D2
      )
   )
)
</f>
        <v>ARB+YIELD_ONLY</v>
      </c>
      <c r="M2" s="3" t="str">
        <f t="shared" ref="M2:M6" si="4">IF(J2=TRUE,"KILL: vol=3 or drawdown&gt;=10%",
   IF(E2=3,"HEAVY throttle: volatility extreme",
      IF(I2&gt;=0.05,"MEDIUM throttle: drawdown&gt;=5%",
         "Normal risk mode"
      )
   )
)
</f>
        <v>Normal risk mode</v>
      </c>
    </row>
    <row r="3">
      <c r="A3" s="3" t="str">
        <f>'21_MCS_Aggregator'!A3
</f>
        <v>ETH</v>
      </c>
      <c r="B3" s="3" t="str">
        <f>'21_MCS_Aggregator'!B3
</f>
        <v>15m</v>
      </c>
      <c r="C3" s="3">
        <f>'21_MCS_Aggregator'!I3
</f>
        <v>0</v>
      </c>
      <c r="D3" s="3" t="str">
        <f>'21_MCS_Aggregator'!J3
</f>
        <v>ARB+YIELD_ONLY</v>
      </c>
      <c r="E3" s="3">
        <f>Shared_Inputs!I3
</f>
        <v>0</v>
      </c>
      <c r="F3" s="3" t="b">
        <f>Shared_Inputs!M3
</f>
        <v>0</v>
      </c>
      <c r="G3" s="3">
        <f>'03_Liquidity_Sweep_Engine_L2'!L3
</f>
        <v>0</v>
      </c>
      <c r="H3" s="3">
        <f>'02_Institutional_Pressure_L1'!N3
</f>
        <v>0</v>
      </c>
      <c r="I3" s="1">
        <v>0.0</v>
      </c>
      <c r="J3" s="3" t="b">
        <f t="shared" si="1"/>
        <v>0</v>
      </c>
      <c r="K3" s="3" t="str">
        <f t="shared" si="2"/>
        <v>LIGHT</v>
      </c>
      <c r="L3" s="3" t="str">
        <f t="shared" si="3"/>
        <v>ARB+YIELD_ONLY</v>
      </c>
      <c r="M3" s="3" t="str">
        <f t="shared" si="4"/>
        <v>Normal risk mode</v>
      </c>
    </row>
    <row r="4">
      <c r="A4" s="3" t="str">
        <f>'21_MCS_Aggregator'!A4
</f>
        <v>XRP</v>
      </c>
      <c r="B4" s="3" t="str">
        <f>'21_MCS_Aggregator'!B4
</f>
        <v>15m</v>
      </c>
      <c r="C4" s="3" t="str">
        <f>'21_MCS_Aggregator'!I4
</f>
        <v>#N/A</v>
      </c>
      <c r="D4" s="3" t="str">
        <f>'21_MCS_Aggregator'!J4
</f>
        <v>#N/A</v>
      </c>
      <c r="E4" s="3" t="str">
        <f>Shared_Inputs!I4
</f>
        <v>#N/A</v>
      </c>
      <c r="F4" s="3" t="b">
        <f>Shared_Inputs!M4
</f>
        <v>0</v>
      </c>
      <c r="G4" s="3" t="str">
        <f>'03_Liquidity_Sweep_Engine_L2'!L4
</f>
        <v>#N/A</v>
      </c>
      <c r="H4" s="3">
        <f>'02_Institutional_Pressure_L1'!N4
</f>
        <v>0</v>
      </c>
      <c r="I4" s="1">
        <v>0.0</v>
      </c>
      <c r="J4" s="3" t="str">
        <f t="shared" si="1"/>
        <v>#N/A</v>
      </c>
      <c r="K4" s="3" t="str">
        <f t="shared" si="2"/>
        <v>#N/A</v>
      </c>
      <c r="L4" s="3" t="str">
        <f t="shared" si="3"/>
        <v>#N/A</v>
      </c>
      <c r="M4" s="3" t="str">
        <f t="shared" si="4"/>
        <v>#N/A</v>
      </c>
    </row>
    <row r="5">
      <c r="A5" s="3" t="str">
        <f>'21_MCS_Aggregator'!A5
</f>
        <v>XAU</v>
      </c>
      <c r="B5" s="3" t="str">
        <f>'21_MCS_Aggregator'!B5
</f>
        <v>15m</v>
      </c>
      <c r="C5" s="3" t="str">
        <f>'21_MCS_Aggregator'!I5
</f>
        <v>#N/A</v>
      </c>
      <c r="D5" s="3" t="str">
        <f>'21_MCS_Aggregator'!J5
</f>
        <v>#N/A</v>
      </c>
      <c r="E5" s="3" t="str">
        <f>Shared_Inputs!I5
</f>
        <v>#N/A</v>
      </c>
      <c r="F5" s="3" t="b">
        <f>Shared_Inputs!M5
</f>
        <v>0</v>
      </c>
      <c r="G5" s="3" t="str">
        <f>'03_Liquidity_Sweep_Engine_L2'!L5
</f>
        <v>#N/A</v>
      </c>
      <c r="H5" s="3">
        <f>'02_Institutional_Pressure_L1'!N5
</f>
        <v>0</v>
      </c>
      <c r="I5" s="1">
        <v>0.0</v>
      </c>
      <c r="J5" s="3" t="str">
        <f t="shared" si="1"/>
        <v>#N/A</v>
      </c>
      <c r="K5" s="3" t="str">
        <f t="shared" si="2"/>
        <v>#N/A</v>
      </c>
      <c r="L5" s="3" t="str">
        <f t="shared" si="3"/>
        <v>#N/A</v>
      </c>
      <c r="M5" s="3" t="str">
        <f t="shared" si="4"/>
        <v>#N/A</v>
      </c>
    </row>
    <row r="6">
      <c r="A6" s="3" t="str">
        <f>'21_MCS_Aggregator'!A6
</f>
        <v>SPX</v>
      </c>
      <c r="B6" s="3" t="str">
        <f>'21_MCS_Aggregator'!B6
</f>
        <v>15m</v>
      </c>
      <c r="C6" s="3" t="str">
        <f>'21_MCS_Aggregator'!I6
</f>
        <v>#N/A</v>
      </c>
      <c r="D6" s="3" t="str">
        <f>'21_MCS_Aggregator'!J6
</f>
        <v>#N/A</v>
      </c>
      <c r="E6" s="3" t="str">
        <f>Shared_Inputs!I6
</f>
        <v>#N/A</v>
      </c>
      <c r="F6" s="3" t="b">
        <f>Shared_Inputs!M6
</f>
        <v>0</v>
      </c>
      <c r="G6" s="3" t="str">
        <f>'03_Liquidity_Sweep_Engine_L2'!L6
</f>
        <v>#N/A</v>
      </c>
      <c r="H6" s="3" t="str">
        <f>'02_Institutional_Pressure_L1'!N6
</f>
        <v/>
      </c>
      <c r="I6" s="1">
        <v>0.0</v>
      </c>
      <c r="J6" s="3" t="str">
        <f t="shared" si="1"/>
        <v>#N/A</v>
      </c>
      <c r="K6" s="3" t="str">
        <f t="shared" si="2"/>
        <v>#N/A</v>
      </c>
      <c r="L6" s="3" t="str">
        <f t="shared" si="3"/>
        <v>#N/A</v>
      </c>
      <c r="M6" s="3" t="str">
        <f t="shared" si="4"/>
        <v>#N/A</v>
      </c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